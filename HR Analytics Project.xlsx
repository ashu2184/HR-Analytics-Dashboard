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Ex4.xml" ContentType="application/vnd.ms-office.chartex+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BEE4B1BA-9EA2-4C3E-8EDA-D2C56D94863F}" xr6:coauthVersionLast="47" xr6:coauthVersionMax="47" xr10:uidLastSave="{00000000-0000-0000-0000-000000000000}"/>
  <bookViews>
    <workbookView xWindow="-108" yWindow="-108" windowWidth="23256" windowHeight="12456" xr2:uid="{00000000-000D-0000-FFFF-FFFF00000000}"/>
  </bookViews>
  <sheets>
    <sheet name="Dashboard" sheetId="6" r:id="rId1"/>
    <sheet name="KPI" sheetId="7" r:id="rId2"/>
    <sheet name="Average of job satisfaction" sheetId="8" r:id="rId3"/>
    <sheet name="Gender" sheetId="11" r:id="rId4"/>
    <sheet name="Education by attrition" sheetId="12" r:id="rId5"/>
    <sheet name="Attrition by job" sheetId="13" r:id="rId6"/>
    <sheet name="Dept wise Attribution" sheetId="14" r:id="rId7"/>
    <sheet name="Attrition by Age Group" sheetId="15" r:id="rId8"/>
    <sheet name="Marital Status" sheetId="17" r:id="rId9"/>
    <sheet name="Data" sheetId="1" r:id="rId10"/>
    <sheet name="Images" sheetId="2" r:id="rId11"/>
  </sheets>
  <definedNames>
    <definedName name="_xlchart.v1.3" hidden="1">'Attrition by job'!$D$4:$D$12</definedName>
    <definedName name="_xlchart.v1.4" hidden="1">'Attrition by job'!$E$4:$E$12</definedName>
    <definedName name="_xlchart.v1.5" hidden="1">'Attrition by job'!$D$4:$D$12</definedName>
    <definedName name="_xlchart.v1.6" hidden="1">'Attrition by job'!$E$4:$E$12</definedName>
    <definedName name="_xlchart.v2.0" hidden="1">'Marital Status'!$D$4:$D$6</definedName>
    <definedName name="_xlchart.v2.1" hidden="1">'Marital Status'!$E$3</definedName>
    <definedName name="_xlchart.v2.2"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2">#N/A</definedName>
    <definedName name="Slicer_Gende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7" l="1"/>
  <c r="D6" i="17"/>
  <c r="D4" i="17"/>
  <c r="D5" i="13"/>
  <c r="D6" i="13"/>
  <c r="D7" i="13"/>
  <c r="D8" i="13"/>
  <c r="D9" i="13"/>
  <c r="D10" i="13"/>
  <c r="D11" i="13"/>
  <c r="D12" i="13"/>
  <c r="D4" i="13"/>
  <c r="E11" i="13"/>
  <c r="E4" i="13"/>
  <c r="C9" i="7"/>
  <c r="B10" i="11"/>
  <c r="B9" i="7"/>
  <c r="B9" i="11"/>
  <c r="A9" i="7"/>
  <c r="B6" i="8"/>
  <c r="E5" i="17"/>
  <c r="E6" i="17"/>
  <c r="E4" i="17"/>
  <c r="E7" i="13"/>
  <c r="E6" i="13"/>
  <c r="E12" i="13"/>
  <c r="E8" i="13"/>
  <c r="E9" i="13"/>
  <c r="E5" i="13"/>
  <c r="E10" i="13"/>
  <c r="E9" i="7" l="1"/>
  <c r="C6" i="8"/>
  <c r="B7" i="8"/>
  <c r="C7" i="8" s="1"/>
  <c r="D9" i="7"/>
  <c r="C10" i="11"/>
  <c r="C9" i="11"/>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<sst xmlns="http://schemas.openxmlformats.org/spreadsheetml/2006/main" count="19217" uniqueCount="1571">
  <si>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</si>
  <si>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</si>
  <si>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</si>
  <si>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</si>
  <si>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</si>
  <si>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</si>
  <si>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</si>
  <si>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</si>
  <si>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</si>
  <si>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</si>
  <si>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</si>
  <si>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</si>
  <si>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</si>
  <si>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</si>
  <si>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</si>
  <si>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</si>
  <si>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</si>
  <si>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</si>
  <si>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</si>
  <si>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</si>
  <si>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</si>
  <si>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</si>
  <si>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</si>
  <si>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</si>
  <si>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</si>
  <si>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</si>
  <si>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</si>
  <si>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</si>
  <si>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</si>
  <si>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</si>
  <si>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</si>
  <si>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</si>
  <si>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</si>
  <si>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</si>
  <si>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</si>
  <si>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</si>
  <si>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</si>
  <si>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</si>
  <si>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</si>
  <si>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</si>
  <si>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</si>
  <si>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</si>
  <si>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</si>
  <si>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</si>
  <si>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</si>
  <si>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</si>
  <si>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</si>
  <si>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</si>
  <si>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</si>
  <si>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</si>
  <si>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</si>
  <si>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</si>
  <si>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</si>
  <si>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</si>
  <si>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</si>
  <si>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</si>
  <si>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</si>
  <si>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</si>
  <si>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</si>
  <si>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</si>
  <si>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</si>
  <si>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</si>
  <si>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</si>
  <si>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</si>
  <si>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</si>
  <si>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</si>
  <si>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</si>
  <si>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</si>
  <si>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</si>
  <si>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</si>
  <si>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</si>
  <si>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</si>
  <si>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</si>
  <si>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</si>
  <si>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</si>
  <si>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</si>
  <si>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</si>
  <si>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</si>
  <si>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</si>
  <si>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</si>
  <si>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</si>
  <si>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</si>
  <si>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</si>
  <si>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</si>
  <si>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</si>
  <si>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</si>
  <si>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</si>
  <si>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</si>
  <si>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</si>
  <si>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</si>
  <si>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</si>
  <si>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</si>
  <si>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</si>
  <si>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</si>
  <si>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</si>
  <si>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</si>
  <si>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</si>
  <si>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</si>
  <si>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</si>
  <si>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</si>
  <si>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</si>
  <si>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</si>
  <si>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</si>
  <si>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</si>
  <si>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</si>
  <si>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</si>
  <si>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</si>
  <si>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</si>
  <si>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</si>
  <si>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</si>
  <si>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</si>
  <si>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</si>
  <si>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</si>
  <si>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</si>
  <si>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</si>
  <si>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</si>
  <si>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</si>
  <si>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</si>
  <si>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</si>
  <si>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</si>
  <si>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</si>
  <si>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</si>
  <si>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</si>
  <si>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</si>
  <si>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</si>
  <si>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</si>
  <si>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</si>
  <si>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</si>
  <si>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</si>
  <si>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</si>
  <si>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</si>
  <si>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</si>
  <si>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</si>
  <si>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</si>
  <si>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</si>
  <si>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</si>
  <si>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</si>
  <si>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</si>
  <si>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</si>
  <si>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</si>
  <si>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</si>
  <si>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</si>
  <si>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</si>
  <si>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</si>
  <si>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</si>
  <si>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</si>
  <si>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</si>
  <si>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</si>
  <si>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</si>
  <si>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</si>
  <si>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</si>
  <si>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</si>
  <si>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</si>
  <si>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</si>
  <si>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</si>
  <si>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</si>
  <si>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</si>
  <si>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</si>
  <si>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</si>
  <si>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</si>
  <si>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</si>
  <si>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</si>
  <si>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</si>
  <si>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</si>
  <si>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</si>
  <si>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</si>
  <si>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</si>
  <si>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</si>
  <si>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</si>
  <si>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</si>
  <si>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</si>
  <si>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</si>
  <si>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</si>
  <si>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</si>
  <si>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</si>
  <si>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</si>
  <si>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</si>
  <si>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</si>
  <si>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</si>
  <si>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</si>
  <si>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</si>
  <si>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</si>
  <si>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</si>
  <si>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</si>
  <si>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</si>
  <si>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</si>
  <si>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</si>
  <si>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</si>
  <si>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</si>
  <si>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</si>
  <si>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</si>
  <si>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</si>
  <si>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</si>
  <si>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</si>
  <si>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</si>
  <si>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</si>
  <si>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</si>
  <si>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</si>
  <si>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</si>
  <si>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</si>
  <si>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</si>
  <si>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</si>
  <si>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</si>
  <si>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</si>
  <si>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</si>
  <si>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</si>
  <si>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</si>
  <si>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</si>
  <si>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</si>
  <si>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</si>
  <si>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</si>
  <si>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</si>
  <si>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</si>
  <si>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</si>
  <si>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</si>
  <si>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</si>
  <si>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</si>
  <si>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</si>
  <si>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</si>
  <si>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</si>
  <si>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</si>
  <si>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</si>
  <si>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</si>
  <si>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</si>
  <si>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</si>
  <si>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</si>
  <si>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</si>
  <si>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</si>
  <si>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</si>
  <si>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</si>
  <si>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</si>
  <si>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</si>
  <si>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</si>
  <si>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</si>
  <si>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</si>
  <si>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</si>
  <si>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</si>
  <si>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</si>
  <si>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</si>
  <si>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</si>
  <si>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</si>
  <si>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</si>
  <si>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</si>
  <si>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</si>
  <si>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</si>
  <si>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</si>
  <si>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</si>
  <si>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</si>
  <si>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</si>
  <si>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</si>
  <si>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</si>
  <si>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</si>
  <si>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</si>
  <si>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</si>
  <si>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</si>
  <si>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</si>
  <si>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</si>
  <si>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</si>
  <si>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</si>
  <si>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</si>
  <si>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</si>
  <si>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</si>
  <si>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</si>
  <si>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</si>
  <si>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</si>
  <si>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</si>
  <si>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</si>
  <si>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</si>
  <si>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</si>
  <si>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</si>
  <si>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</si>
  <si>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</si>
  <si>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</si>
  <si>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</si>
  <si>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</si>
  <si>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</si>
  <si>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</si>
  <si>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</si>
  <si>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</si>
  <si>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</si>
  <si>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</si>
  <si>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</si>
  <si>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</si>
  <si>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</si>
  <si>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</si>
  <si>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</si>
  <si>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</si>
  <si>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</si>
  <si>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</si>
  <si>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</si>
  <si>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</si>
  <si>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</si>
  <si>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</si>
  <si>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</si>
  <si>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</si>
  <si>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</si>
  <si>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</si>
  <si>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</si>
  <si>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</si>
  <si>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</si>
  <si>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</si>
  <si>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</si>
  <si>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</si>
  <si>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</si>
  <si>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</si>
  <si>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</si>
  <si>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</si>
  <si>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</si>
  <si>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</si>
  <si>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</si>
  <si>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</si>
  <si>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</si>
  <si>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</si>
  <si>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</si>
  <si>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</si>
  <si>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</si>
  <si>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</si>
  <si>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</si>
  <si>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</si>
  <si>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</si>
  <si>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</si>
  <si>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</si>
  <si>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</si>
  <si>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</si>
  <si>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</si>
  <si>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</si>
  <si>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</si>
  <si>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</si>
  <si>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</si>
  <si>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</si>
  <si>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</si>
  <si>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</si>
  <si>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</si>
  <si>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</si>
  <si>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</si>
  <si>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</si>
  <si>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</si>
  <si>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</si>
  <si>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</si>
  <si>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</si>
  <si>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</si>
  <si>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</si>
  <si>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</si>
  <si>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</si>
  <si>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</si>
  <si>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</si>
  <si>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</si>
  <si>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</si>
  <si>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</si>
  <si>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</si>
  <si>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</si>
  <si>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</si>
  <si>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</si>
  <si>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</si>
  <si>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</si>
  <si>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</si>
  <si>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</si>
  <si>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</si>
  <si>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</si>
  <si>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</si>
  <si>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</si>
  <si>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</si>
  <si>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</si>
  <si>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</si>
  <si>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</si>
  <si>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</si>
  <si>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</si>
  <si>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</si>
  <si>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</si>
  <si>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</si>
  <si>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</si>
  <si>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</si>
  <si>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</si>
  <si>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</si>
  <si>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</si>
  <si>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</si>
  <si>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</si>
  <si>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</si>
  <si>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</si>
  <si>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</si>
  <si>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</si>
  <si>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</si>
  <si>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</si>
  <si>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</si>
  <si>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</si>
  <si>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</si>
  <si>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</si>
  <si>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</si>
  <si>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</si>
  <si>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</si>
  <si>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</si>
  <si>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</si>
  <si>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</si>
  <si>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</si>
  <si>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</si>
  <si>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</si>
  <si>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</si>
  <si>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</si>
  <si>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</si>
  <si>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</si>
  <si>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</si>
  <si>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</si>
  <si>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</si>
  <si>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</si>
  <si>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</si>
  <si>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</si>
  <si>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</si>
  <si>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</si>
  <si>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</si>
  <si>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</si>
  <si>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</si>
  <si>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</si>
  <si>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</si>
  <si>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</si>
  <si>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</si>
  <si>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</si>
  <si>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</si>
  <si>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</si>
  <si>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</si>
  <si>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</si>
  <si>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</si>
  <si>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</si>
  <si>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</si>
  <si>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</si>
  <si>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</si>
  <si>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</si>
  <si>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</si>
  <si>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</si>
  <si>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</si>
  <si>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</si>
  <si>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</si>
  <si>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</si>
  <si>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</si>
  <si>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</si>
  <si>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</si>
  <si>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</si>
  <si>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</si>
  <si>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</si>
  <si>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</si>
  <si>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</si>
  <si>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</si>
  <si>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</si>
  <si>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</si>
  <si>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</si>
  <si>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</si>
  <si>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</si>
  <si>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</si>
  <si>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</si>
  <si>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</si>
  <si>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</si>
  <si>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</si>
  <si>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</si>
  <si>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</si>
  <si>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</si>
  <si>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</si>
  <si>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</si>
  <si>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</si>
  <si>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</si>
  <si>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</si>
  <si>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</si>
  <si>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</si>
  <si>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</si>
  <si>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</si>
  <si>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</si>
  <si>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</si>
  <si>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</si>
  <si>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</si>
  <si>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</si>
  <si>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</si>
  <si>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</si>
  <si>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</si>
  <si>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</si>
  <si>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</si>
  <si>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</si>
  <si>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</si>
  <si>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</si>
  <si>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</si>
  <si>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</si>
  <si>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</si>
  <si>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</si>
  <si>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</si>
  <si>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</si>
  <si>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</si>
  <si>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</si>
  <si>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</si>
  <si>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</si>
  <si>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</si>
  <si>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</si>
  <si>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</si>
  <si>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</si>
  <si>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</si>
  <si>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</si>
  <si>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</si>
  <si>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</si>
  <si>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</si>
  <si>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</si>
  <si>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</si>
  <si>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</si>
  <si>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</si>
  <si>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</si>
  <si>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</si>
  <si>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</si>
  <si>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</si>
  <si>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</si>
  <si>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</si>
  <si>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</si>
  <si>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</si>
  <si>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</si>
  <si>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</si>
  <si>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</si>
  <si>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</si>
  <si>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</si>
  <si>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</si>
  <si>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</si>
  <si>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</si>
  <si>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</si>
  <si>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</si>
  <si>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</si>
  <si>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</si>
  <si>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</si>
  <si>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</si>
  <si>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</si>
  <si>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</si>
  <si>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</si>
  <si>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</si>
  <si>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</si>
  <si>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</si>
  <si>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</si>
  <si>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</si>
  <si>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</si>
  <si>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</si>
  <si>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</si>
  <si>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</si>
  <si>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</si>
  <si>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</si>
  <si>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</si>
  <si>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</si>
  <si>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</si>
  <si>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</si>
  <si>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</si>
  <si>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</si>
  <si>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</si>
  <si>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</si>
  <si>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</si>
  <si>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</si>
  <si>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</si>
  <si>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</si>
  <si>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</si>
  <si>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</si>
  <si>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</si>
  <si>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</si>
  <si>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</si>
  <si>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</si>
  <si>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</si>
  <si>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</si>
  <si>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</si>
  <si>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</si>
  <si>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</si>
  <si>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</si>
  <si>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</si>
  <si>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</si>
  <si>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</si>
  <si>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</si>
  <si>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</si>
  <si>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</si>
  <si>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</si>
  <si>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</si>
  <si>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</si>
  <si>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</si>
  <si>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</si>
  <si>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</si>
  <si>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</si>
  <si>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</si>
  <si>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</si>
  <si>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</si>
  <si>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</si>
  <si>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</si>
  <si>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</si>
  <si>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</si>
  <si>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</si>
  <si>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</si>
  <si>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</si>
  <si>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</si>
  <si>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</si>
  <si>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</si>
  <si>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</si>
  <si>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</si>
  <si>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</si>
  <si>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</si>
  <si>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</si>
  <si>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</si>
  <si>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</si>
  <si>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</si>
  <si>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</si>
  <si>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</si>
  <si>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</si>
  <si>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</si>
  <si>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</si>
  <si>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</si>
  <si>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</si>
  <si>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</si>
  <si>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</si>
  <si>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</si>
  <si>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</si>
  <si>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</si>
  <si>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</si>
  <si>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</si>
  <si>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</si>
  <si>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</si>
  <si>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</si>
  <si>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</si>
  <si>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</si>
  <si>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</si>
  <si>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</si>
  <si>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</si>
  <si>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</si>
  <si>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</si>
  <si>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</si>
  <si>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</si>
  <si>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</si>
  <si>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</si>
  <si>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</si>
  <si>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</si>
  <si>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</si>
  <si>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</si>
  <si>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</si>
  <si>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</si>
  <si>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</si>
  <si>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</si>
  <si>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</si>
  <si>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</si>
  <si>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</si>
  <si>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</si>
  <si>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</si>
  <si>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</si>
  <si>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</si>
  <si>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</si>
  <si>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</si>
  <si>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</si>
  <si>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</si>
  <si>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</si>
  <si>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</si>
  <si>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</si>
  <si>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</si>
  <si>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</si>
  <si>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</si>
  <si>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</si>
  <si>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</si>
  <si>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</si>
  <si>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</si>
  <si>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</si>
  <si>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</si>
  <si>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</si>
  <si>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</si>
  <si>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</si>
  <si>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</si>
  <si>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</si>
  <si>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</si>
  <si>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</si>
  <si>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</si>
  <si>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</si>
  <si>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</si>
  <si>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</si>
  <si>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</si>
  <si>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</si>
  <si>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</si>
  <si>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</si>
  <si>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</si>
  <si>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</si>
  <si>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</si>
  <si>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</si>
  <si>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</si>
  <si>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</si>
  <si>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</si>
  <si>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</si>
  <si>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</si>
  <si>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</si>
  <si>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</si>
  <si>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</si>
  <si>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</si>
  <si>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</si>
  <si>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</si>
  <si>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</si>
  <si>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</si>
  <si>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</si>
  <si>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</si>
  <si>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</si>
  <si>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</si>
  <si>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</si>
  <si>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</si>
  <si>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</si>
  <si>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</si>
  <si>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</si>
  <si>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</si>
  <si>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</si>
  <si>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</si>
  <si>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</si>
  <si>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</si>
  <si>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</si>
  <si>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</si>
  <si>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</si>
  <si>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</si>
  <si>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</si>
  <si>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</si>
  <si>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</si>
  <si>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</si>
  <si>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</si>
  <si>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</si>
  <si>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</si>
  <si>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</si>
  <si>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</si>
  <si>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</si>
  <si>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</si>
  <si>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</si>
  <si>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</si>
  <si>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</si>
  <si>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</si>
  <si>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</si>
  <si>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</si>
  <si>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</si>
  <si>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</si>
  <si>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</si>
  <si>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</si>
  <si>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</si>
  <si>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</si>
  <si>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</si>
  <si>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</si>
  <si>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</si>
  <si>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</si>
  <si>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</si>
  <si>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</si>
  <si>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</si>
  <si>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</si>
  <si>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</si>
  <si>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</si>
  <si>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</si>
  <si>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</si>
  <si>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</si>
  <si>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</si>
  <si>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</si>
  <si>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</si>
  <si>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</si>
  <si>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</si>
  <si>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</si>
  <si>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</si>
  <si>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</si>
  <si>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</si>
  <si>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</si>
  <si>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</si>
  <si>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</si>
  <si>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</si>
  <si>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</si>
  <si>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</si>
  <si>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</si>
  <si>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</si>
  <si>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</si>
  <si>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</si>
  <si>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</si>
  <si>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</si>
  <si>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</si>
  <si>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</si>
  <si>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</si>
  <si>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</si>
  <si>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</si>
  <si>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</si>
  <si>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</si>
  <si>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</si>
  <si>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</si>
  <si>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</si>
  <si>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</si>
  <si>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</si>
  <si>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</si>
  <si>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</si>
  <si>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</si>
  <si>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</si>
  <si>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</si>
  <si>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</si>
  <si>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</si>
  <si>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</si>
  <si>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</si>
  <si>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</si>
  <si>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</si>
  <si>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</si>
  <si>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</si>
  <si>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</si>
  <si>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</si>
  <si>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</si>
  <si>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</si>
  <si>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</si>
  <si>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</si>
  <si>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</si>
  <si>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</si>
  <si>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</si>
  <si>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</si>
  <si>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</si>
  <si>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</si>
  <si>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</si>
  <si>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</si>
  <si>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</si>
  <si>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</si>
  <si>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</si>
  <si>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</si>
  <si>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</si>
  <si>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</si>
  <si>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</si>
  <si>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</si>
  <si>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</si>
  <si>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</si>
  <si>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</si>
  <si>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</si>
  <si>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</si>
  <si>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</si>
  <si>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</si>
  <si>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</si>
  <si>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</si>
  <si>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</si>
  <si>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</si>
  <si>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</si>
  <si>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</si>
  <si>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</si>
  <si>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</si>
  <si>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</si>
  <si>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</si>
  <si>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</si>
  <si>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</si>
  <si>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</si>
  <si>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</si>
  <si>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</si>
  <si>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</si>
  <si>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</si>
  <si>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</si>
  <si>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</si>
  <si>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</si>
  <si>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</si>
  <si>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</si>
  <si>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</si>
  <si>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</si>
  <si>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</si>
  <si>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</si>
  <si>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</si>
  <si>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</si>
  <si>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</si>
  <si>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</si>
  <si>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</si>
  <si>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</si>
  <si>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</si>
  <si>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</si>
  <si>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</si>
  <si>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</si>
  <si>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</si>
  <si>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</si>
  <si>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</si>
  <si>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</si>
  <si>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</si>
  <si>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</si>
  <si>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</si>
  <si>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</si>
  <si>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</si>
  <si>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</si>
  <si>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</si>
  <si>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</si>
  <si>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</si>
  <si>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</si>
  <si>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</si>
  <si>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</si>
  <si>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</si>
  <si>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</si>
  <si>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</si>
  <si>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</si>
  <si>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</si>
  <si>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</si>
  <si>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</si>
  <si>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</si>
  <si>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</si>
  <si>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</si>
  <si>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</si>
  <si>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</si>
  <si>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</si>
  <si>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</si>
  <si>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</si>
  <si>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</si>
  <si>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</si>
  <si>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</si>
  <si>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</si>
  <si>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</si>
  <si>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</si>
  <si>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</si>
  <si>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</si>
  <si>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</si>
  <si>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</si>
  <si>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</si>
  <si>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</si>
  <si>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</si>
  <si>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</si>
  <si>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</si>
  <si>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</si>
  <si>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</si>
  <si>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</si>
  <si>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</si>
  <si>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</si>
  <si>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</si>
  <si>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</si>
  <si>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</si>
  <si>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</si>
  <si>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</si>
  <si>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</si>
  <si>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</si>
  <si>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</si>
  <si>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</si>
  <si>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</si>
  <si>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</si>
  <si>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</si>
  <si>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</si>
  <si>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</si>
  <si>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</si>
  <si>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</si>
  <si>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</si>
  <si>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</si>
  <si>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</si>
  <si>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</si>
  <si>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</si>
  <si>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</si>
  <si>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</si>
  <si>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</si>
  <si>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</si>
  <si>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</si>
  <si>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</si>
  <si>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</si>
  <si>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</si>
  <si>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</si>
  <si>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</si>
  <si>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</si>
  <si>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</si>
  <si>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</si>
  <si>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</si>
  <si>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</si>
  <si>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</si>
  <si>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</si>
  <si>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</si>
  <si>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</si>
  <si>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</si>
  <si>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</si>
  <si>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</si>
  <si>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</si>
  <si>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</si>
  <si>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</si>
  <si>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</si>
  <si>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</si>
  <si>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</si>
  <si>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</si>
  <si>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</si>
  <si>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</si>
  <si>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</si>
  <si>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</si>
  <si>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</si>
  <si>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</si>
  <si>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</si>
  <si>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</si>
  <si>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</si>
  <si>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</si>
  <si>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</si>
  <si>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</si>
  <si>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</si>
  <si>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</si>
  <si>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</si>
  <si>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</si>
  <si>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</si>
  <si>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</si>
  <si>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</si>
  <si>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</si>
  <si>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</si>
  <si>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</si>
  <si>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</si>
  <si>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</si>
  <si>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</si>
  <si>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</si>
  <si>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</si>
  <si>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</si>
  <si>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</si>
  <si>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</si>
  <si>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</si>
  <si>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</si>
  <si>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</si>
  <si>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</si>
  <si>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</si>
  <si>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</si>
  <si>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</si>
  <si>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</si>
  <si>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</si>
  <si>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</si>
  <si>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</si>
  <si>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</si>
  <si>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</si>
  <si>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</si>
  <si>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</si>
  <si>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</si>
  <si>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</si>
  <si>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</si>
  <si>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</si>
  <si>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</si>
  <si>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</si>
  <si>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</si>
  <si>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</si>
  <si>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</si>
  <si>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</si>
  <si>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</si>
  <si>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</si>
  <si>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</si>
  <si>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</si>
  <si>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</si>
  <si>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</si>
  <si>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</si>
  <si>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</si>
  <si>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</si>
  <si>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</si>
  <si>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</si>
  <si>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</si>
  <si>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</si>
  <si>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</si>
  <si>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</si>
  <si>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</si>
  <si>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</si>
  <si>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</si>
  <si>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</si>
  <si>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</si>
  <si>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</si>
  <si>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</si>
  <si>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</si>
  <si>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</si>
  <si>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</si>
  <si>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</si>
  <si>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</si>
  <si>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</si>
  <si>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</si>
  <si>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</si>
  <si>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</si>
  <si>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</si>
  <si>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</si>
  <si>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</si>
  <si>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</si>
  <si>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</si>
  <si>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</si>
  <si>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</si>
  <si>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</si>
  <si>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</si>
  <si>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</si>
  <si>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</si>
  <si>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</si>
  <si>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</si>
  <si>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</si>
  <si>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</si>
  <si>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</si>
  <si>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</si>
  <si>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</si>
  <si>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</si>
  <si>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</si>
  <si>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</si>
  <si>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</si>
  <si>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</si>
  <si>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</si>
  <si>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</si>
  <si>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</si>
  <si>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</si>
  <si>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</si>
  <si>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</si>
  <si>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</si>
  <si>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</si>
  <si>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</si>
  <si>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</si>
  <si>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</si>
  <si>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</si>
  <si>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</si>
  <si>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</si>
  <si>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</si>
  <si>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</si>
  <si>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</si>
  <si>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</si>
  <si>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</si>
  <si>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</si>
  <si>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</si>
  <si>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</si>
  <si>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</si>
  <si>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</si>
  <si>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</si>
  <si>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</si>
  <si>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</si>
  <si>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</si>
  <si>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</si>
  <si>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</si>
  <si>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</si>
  <si>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</si>
  <si>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</si>
  <si>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</si>
  <si>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</si>
  <si>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</si>
  <si>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</si>
  <si>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</si>
  <si>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</si>
  <si>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</si>
  <si>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</si>
  <si>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</si>
  <si>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</si>
  <si>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</si>
  <si>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</si>
  <si>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</si>
  <si>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</si>
  <si>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</si>
  <si>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</si>
  <si>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</si>
  <si>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</si>
  <si>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</si>
  <si>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</si>
  <si>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</si>
  <si>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</si>
  <si>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</si>
  <si>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</si>
  <si>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</si>
  <si>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</si>
  <si>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</si>
  <si>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</si>
  <si>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</si>
  <si>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</si>
  <si>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</si>
  <si>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</si>
  <si>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</si>
  <si>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</si>
  <si>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</si>
  <si>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</si>
  <si>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</si>
  <si>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</si>
  <si>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</si>
  <si>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</si>
  <si>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</si>
  <si>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</si>
  <si>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</si>
  <si>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</si>
  <si>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</si>
  <si>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</si>
  <si>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</si>
  <si>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</si>
  <si>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</si>
  <si>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</si>
  <si>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</si>
  <si>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</si>
  <si>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</si>
  <si>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</si>
  <si>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</si>
  <si>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</si>
  <si>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</si>
  <si>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</si>
  <si>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</si>
  <si>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</si>
  <si>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</si>
  <si>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</si>
  <si>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</si>
  <si>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</si>
  <si>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</si>
  <si>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</si>
  <si>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</si>
  <si>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</si>
  <si>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</si>
  <si>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</si>
  <si>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</si>
  <si>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</si>
  <si>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</si>
  <si>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</si>
  <si>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</si>
  <si>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</si>
  <si>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</si>
  <si>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</si>
  <si>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</si>
  <si>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</si>
  <si>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</si>
  <si>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</si>
  <si>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</si>
  <si>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</si>
  <si>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</si>
  <si>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</si>
  <si>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</si>
  <si>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</si>
  <si>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</si>
  <si>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</si>
  <si>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</si>
  <si>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</si>
  <si>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</si>
  <si>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</si>
  <si>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</si>
  <si>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</si>
  <si>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</si>
  <si>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</si>
  <si>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</si>
  <si>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</si>
  <si>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</si>
  <si>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</si>
  <si>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</si>
  <si>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</si>
  <si>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</si>
  <si>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</si>
  <si>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</si>
  <si>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</si>
  <si>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</si>
  <si>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</si>
  <si>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</si>
  <si>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</si>
  <si>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</si>
  <si>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</si>
  <si>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</si>
  <si>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</si>
  <si>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</si>
  <si>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</si>
  <si>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</si>
  <si>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</si>
  <si>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</si>
  <si>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</si>
  <si>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</si>
  <si>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</si>
  <si>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</si>
  <si>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</si>
  <si>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</si>
  <si>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</si>
  <si>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</si>
  <si>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</si>
  <si>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</si>
  <si>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</si>
  <si>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</si>
  <si>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</si>
  <si>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</si>
  <si>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</si>
  <si>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</si>
  <si>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</si>
  <si>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</si>
  <si>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</si>
  <si>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</si>
  <si>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</si>
  <si>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</si>
  <si>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</si>
  <si>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</si>
  <si>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</si>
  <si>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</si>
  <si>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</si>
  <si>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</si>
  <si>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</si>
  <si>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</si>
  <si>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</si>
  <si>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</si>
  <si>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</si>
  <si>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</si>
  <si>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</si>
  <si>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</si>
  <si>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</si>
  <si>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</si>
  <si>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</si>
  <si>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</si>
  <si>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</si>
  <si>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</si>
  <si>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</si>
  <si>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</si>
  <si>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</si>
  <si>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</si>
  <si>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</si>
  <si>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</si>
  <si>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</si>
  <si>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</si>
  <si>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</si>
  <si>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</si>
  <si>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</si>
  <si>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</si>
  <si>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</si>
  <si>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</si>
  <si>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</si>
  <si>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</si>
  <si>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</si>
  <si>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</si>
  <si>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</si>
  <si>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</si>
  <si>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</si>
  <si>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</si>
  <si>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</si>
  <si>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</si>
  <si>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</si>
  <si>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</si>
  <si>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</si>
  <si>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</si>
  <si>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</si>
  <si>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</si>
  <si>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</si>
  <si>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</si>
  <si>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</si>
  <si>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</si>
  <si>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</si>
  <si>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</si>
  <si>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</si>
  <si>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</si>
  <si>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</si>
  <si>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</si>
  <si>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</si>
  <si>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</si>
  <si>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</si>
  <si>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</si>
  <si>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</si>
  <si>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</si>
  <si>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</si>
  <si>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</si>
  <si>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</si>
  <si>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</si>
  <si>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</si>
  <si>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</si>
  <si>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</si>
  <si>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</si>
  <si>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</si>
  <si>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</si>
  <si>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</si>
  <si>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</si>
  <si>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</si>
  <si>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</si>
  <si>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</si>
  <si>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</si>
  <si>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</si>
  <si>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</si>
  <si>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</si>
  <si>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</si>
  <si>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</si>
  <si>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</si>
  <si>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</si>
  <si>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</si>
  <si>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</si>
  <si>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</si>
  <si>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</si>
  <si>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</si>
  <si>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</si>
  <si>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</si>
  <si>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</si>
  <si>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</si>
  <si>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</si>
  <si>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</si>
  <si>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</si>
  <si>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</si>
  <si>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</si>
  <si>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</si>
  <si>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</si>
  <si>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</si>
  <si>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</si>
  <si>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</si>
  <si>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</si>
  <si>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</si>
  <si>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</si>
  <si>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</si>
  <si>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</si>
  <si>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</si>
  <si>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</si>
  <si>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</si>
  <si>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</si>
  <si>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</si>
  <si>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</si>
  <si>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</si>
  <si>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</si>
  <si>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</si>
  <si>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</si>
  <si>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</si>
  <si>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</si>
  <si>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</si>
  <si>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</si>
  <si>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</si>
  <si>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</si>
  <si>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</si>
  <si>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</si>
  <si>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</si>
  <si>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</si>
  <si>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</si>
  <si>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</si>
  <si>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</si>
  <si>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</si>
  <si>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</si>
  <si>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</si>
  <si>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</si>
  <si>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</si>
  <si>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</si>
  <si>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</si>
  <si>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</si>
  <si>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</si>
  <si>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</si>
  <si>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</si>
  <si>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</si>
  <si>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</si>
  <si>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</si>
  <si>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</si>
  <si>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</si>
  <si>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</si>
  <si>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</si>
  <si>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</si>
  <si>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</si>
  <si>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</si>
  <si>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</si>
  <si>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</si>
  <si>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</si>
  <si>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</si>
  <si>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</si>
  <si>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</si>
  <si>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</si>
  <si>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</si>
  <si>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</si>
  <si>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</si>
  <si>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</si>
  <si>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</si>
  <si>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</si>
  <si>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</si>
  <si>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</si>
  <si>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</si>
  <si>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</si>
  <si>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</si>
  <si>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</si>
  <si>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</si>
  <si>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</si>
  <si>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</si>
  <si>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</si>
  <si>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</si>
  <si>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</si>
  <si>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</si>
  <si>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</si>
  <si>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</si>
  <si>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</si>
  <si>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</si>
  <si>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</si>
  <si>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</si>
  <si>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</si>
  <si>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</si>
  <si>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</si>
  <si>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</si>
  <si>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</si>
  <si>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</si>
  <si>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</si>
  <si>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</si>
  <si>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</si>
  <si>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</si>
  <si>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</si>
  <si>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</si>
  <si>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</si>
  <si>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</si>
  <si>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</si>
  <si>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</si>
  <si>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</si>
  <si>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</si>
  <si>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</si>
  <si>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</si>
  <si>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</si>
  <si>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</si>
  <si>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</si>
  <si>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</si>
  <si>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</si>
  <si>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</si>
  <si>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</si>
  <si>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</si>
  <si>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</si>
  <si>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</si>
  <si>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</si>
  <si>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</si>
  <si>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</si>
  <si>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</si>
  <si>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</si>
  <si>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</si>
  <si>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</si>
  <si>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</si>
  <si>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</si>
  <si>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</si>
  <si>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</si>
  <si>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</si>
  <si>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</si>
  <si>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</si>
  <si>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</si>
  <si>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</si>
  <si>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</si>
  <si>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</si>
  <si>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</si>
  <si>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</si>
  <si>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</si>
  <si>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</si>
  <si>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</si>
  <si>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</si>
  <si>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</si>
  <si>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</si>
  <si>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</si>
  <si>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</si>
  <si>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</si>
  <si>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</si>
  <si>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</si>
  <si>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</si>
  <si>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</si>
  <si>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</si>
  <si>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</si>
  <si>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</si>
  <si>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</si>
  <si>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</si>
  <si>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</si>
  <si>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</si>
  <si>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</si>
  <si>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</si>
  <si>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</si>
  <si>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</si>
  <si>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</si>
  <si>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</si>
  <si>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</si>
  <si>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</si>
  <si>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</si>
  <si>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</si>
  <si>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</si>
  <si>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</si>
  <si>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</si>
  <si>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</si>
  <si>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</si>
  <si>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</si>
  <si>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</si>
  <si>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</si>
  <si>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</si>
  <si>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</si>
  <si>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</si>
  <si>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</si>
  <si>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</si>
  <si>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</si>
  <si>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</si>
  <si>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</si>
  <si>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</si>
  <si>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</si>
  <si>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</si>
  <si>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</si>
  <si>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</si>
  <si>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</si>
  <si>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</si>
  <si>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</si>
  <si>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</si>
  <si>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</si>
  <si>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</si>
  <si>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</si>
  <si>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</si>
  <si>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</si>
  <si>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</si>
  <si>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</si>
  <si>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</si>
  <si>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</si>
  <si>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</si>
  <si>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</si>
  <si>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</si>
  <si>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</si>
  <si>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</si>
  <si>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</si>
  <si>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</si>
  <si>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</si>
  <si>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</si>
  <si>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</si>
  <si>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</si>
  <si>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</si>
  <si>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</si>
  <si>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</si>
  <si>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</si>
  <si>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</si>
  <si>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</si>
  <si>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</si>
  <si>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</si>
  <si>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</si>
  <si>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</si>
  <si>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</si>
  <si>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Acvtive Employes</t>
  </si>
  <si>
    <t>Attrition Rate</t>
  </si>
  <si>
    <t>Average of Job Satisfaction</t>
  </si>
  <si>
    <t>Rating</t>
  </si>
  <si>
    <t xml:space="preserve">Balance Rating </t>
  </si>
  <si>
    <t>Row Labels</t>
  </si>
  <si>
    <t>Grand Total</t>
  </si>
  <si>
    <t>Count of Employee Count</t>
  </si>
  <si>
    <t xml:space="preserve"> </t>
  </si>
  <si>
    <t>Count of Attrition</t>
  </si>
  <si>
    <t xml:space="preserve">Matrial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</si>
</sst>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
      <sz val="12"/>
      <color theme="1"/>
      <name val="Lato"/>
    </font>
    <font>
      <sz val="20"/>
      <color theme="1"/>
      <name val="Lato"/>
    </font>
  </fonts>
  <fills count="3">
    <fill>
      <patternFill patternType="none"/>
    </fill>
    <fill>
      <patternFill patternType="gray125"/>
    </fill>
    <fill>
      <patternFill patternType="solid">
        <fgColor theme="0" tint="-0.34998626667073579"/>
        <bgColor indexed="64"/>
      </patternFill>
    </fill>
  </fills>
  <borders count="7">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1" fillId="0" borderId="0" xfId="0" applyFont="1"/>
    <xf numFmtId="0" fontId="2" fillId="0" borderId="1" xfId="0" applyFont="1" applyBorder="1"/>
    <xf numFmtId="0" fontId="2" fillId="0" borderId="5" xfId="0" applyFont="1" applyBorder="1"/>
    <xf numFmtId="0" fontId="2" fillId="0" borderId="2" xfId="0" applyFont="1" applyBorder="1"/>
    <xf numFmtId="0" fontId="3" fillId="0" borderId="0" xfId="0" applyFont="1"/>
    <xf numFmtId="10" fontId="0" fillId="0" borderId="0" xfId="1" applyNumberFormat="1" applyFont="1"/>
    <xf numFmtId="1" fontId="0" fillId="0" borderId="0" xfId="0" applyNumberFormat="1"/>
    <xf numFmtId="0" fontId="0" fillId="2" borderId="0" xfId="0" applyFill="1"/>
    <xf numFmtId="0" fontId="5" fillId="2" borderId="0" xfId="0" applyFont="1" applyFill="1"/>
    <xf numFmtId="0" fontId="4" fillId="2" borderId="0" xfId="0" applyFont="1" applyFill="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0" fontId="0" fillId="0" borderId="0" xfId="0" applyNumberFormat="1"/>
    <xf numFmtId="0" fontId="3" fillId="0" borderId="3" xfId="0" applyNumberFormat="1" applyFont="1" applyBorder="1"/>
    <xf numFmtId="0" fontId="3" fillId="0" borderId="6" xfId="0" applyNumberFormat="1" applyFont="1" applyBorder="1"/>
    <xf numFmtId="0" fontId="3" fillId="0" borderId="4" xfId="0" applyNumberFormat="1" applyFont="1" applyBorder="1"/>
  </cellXfs>
  <cellStyles count="2">
    <cellStyle name="Normal" xfId="0" builtinId="0"/>
    <cellStyle name="Percent" xfId="1" builtinId="5"/>
  </cellStyles>
  <dxfs count="172">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ont>
        <b/>
        <family val="2"/>
      </font>
    </dxf>
    <dxf>
      <font>
        <b val="0"/>
      </font>
    </dxf>
    <dxf>
      <font>
        <b val="0"/>
      </font>
    </dxf>
    <dxf>
      <font>
        <b val="0"/>
      </font>
    </dxf>
    <dxf>
      <font>
        <b/>
        <family val="2"/>
      </font>
    </dxf>
    <dxf>
      <font>
        <b/>
        <family val="2"/>
      </font>
    </dxf>
    <dxf>
      <font>
        <b/>
        <family val="2"/>
      </font>
    </dxf>
    <dxf>
      <numFmt numFmtId="164" formatCode="0.0"/>
    </dxf>
    <dxf>
      <fill>
        <patternFill>
          <bgColor theme="0" tint="-4.9989318521683403E-2"/>
        </patternFill>
      </fill>
    </dxf>
    <dxf>
      <numFmt numFmtId="164" formatCode="0.0"/>
    </dxf>
    <dxf>
      <font>
        <b/>
        <family val="2"/>
      </font>
    </dxf>
    <dxf>
      <font>
        <b/>
        <family val="2"/>
      </font>
    </dxf>
    <dxf>
      <font>
        <b/>
        <family val="2"/>
      </font>
    </dxf>
    <dxf>
      <font>
        <b val="0"/>
      </font>
    </dxf>
    <dxf>
      <font>
        <b val="0"/>
      </font>
    </dxf>
    <dxf>
      <font>
        <b val="0"/>
      </font>
    </dxf>
    <dxf>
      <font>
        <b/>
        <family val="2"/>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00000000-0011-0000-FFFF-FFFF00000000}">
      <tableStyleElement type="headerRow" dxfId="171"/>
      <tableStyleElement type="firstRowStripe" dxfId="170"/>
      <tableStyleElement type="secondRowStripe" dxfId="169"/>
    </tableStyle>
    <tableStyle name="Slicer" pivot="0" table="0" count="4" xr9:uid="{6F50F033-C037-4BB4-86CB-D874A7BDFF13}">
      <tableStyleElement type="wholeTable" dxfId="160"/>
    </tableStyle>
  </tableStyles>
  <colors>
    <mruColors>
      <color rgb="FF601E47"/>
      <color rgb="FF16A085"/>
      <color rgb="FFDE40BC"/>
      <color rgb="FFD5D8DC"/>
      <color rgb="FFE67E22"/>
      <color rgb="FF2E86C1"/>
      <color rgb="FFE74C3C"/>
      <color rgb="FF8E44AD"/>
      <color rgb="FF0526CB"/>
      <color rgb="FF000000"/>
    </mruColors>
  </colors>
  <extLst>
    <ext xmlns:x14="http://schemas.microsoft.com/office/spreadsheetml/2009/9/main" uri="{46F421CA-312F-682f-3DD2-61675219B42D}">
      <x14:dxfs count="3">
        <dxf>
          <fill>
            <gradientFill>
              <stop position="0">
                <color theme="1" tint="0.25098422193060094"/>
              </stop>
              <stop position="1">
                <color theme="0"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gradFill>
                <a:gsLst>
                  <a:gs pos="0">
                    <a:schemeClr val="accent1">
                      <a:lumMod val="75000"/>
                    </a:schemeClr>
                  </a:gs>
                  <a:gs pos="100000">
                    <a:schemeClr val="accent6">
                      <a:lumMod val="60000"/>
                      <a:lumOff val="40000"/>
                    </a:schemeClr>
                  </a:gs>
                </a:gsLst>
                <a:lin ang="5400000" scaled="1"/>
              </a:gradFill>
            </a:ln>
          </c:spPr>
          <c:dPt>
            <c:idx val="0"/>
            <c:bubble3D val="0"/>
            <c:spPr>
              <a:solidFill>
                <a:schemeClr val="accent1"/>
              </a:solidFill>
              <a:ln w="19050">
                <a:gradFill>
                  <a:gsLst>
                    <a:gs pos="0">
                      <a:schemeClr val="accent1">
                        <a:lumMod val="75000"/>
                      </a:schemeClr>
                    </a:gs>
                    <a:gs pos="100000">
                      <a:schemeClr val="accent6">
                        <a:lumMod val="60000"/>
                        <a:lumOff val="40000"/>
                      </a:schemeClr>
                    </a:gs>
                  </a:gsLst>
                  <a:lin ang="5400000" scaled="1"/>
                </a:gradFill>
              </a:ln>
              <a:effectLst/>
            </c:spPr>
            <c:extLst>
              <c:ext xmlns:c16="http://schemas.microsoft.com/office/drawing/2014/chart" uri="{C3380CC4-5D6E-409C-BE32-E72D297353CC}">
                <c16:uniqueId val="{00000001-F47B-4F54-917D-9BD57D9AF092}"/>
              </c:ext>
            </c:extLst>
          </c:dPt>
          <c:dPt>
            <c:idx val="1"/>
            <c:bubble3D val="0"/>
            <c:spPr>
              <a:solidFill>
                <a:schemeClr val="bg2">
                  <a:alpha val="95000"/>
                </a:schemeClr>
              </a:solidFill>
              <a:ln w="19050">
                <a:gradFill>
                  <a:gsLst>
                    <a:gs pos="0">
                      <a:schemeClr val="accent1">
                        <a:lumMod val="75000"/>
                      </a:schemeClr>
                    </a:gs>
                    <a:gs pos="100000">
                      <a:schemeClr val="accent6">
                        <a:lumMod val="60000"/>
                        <a:lumOff val="40000"/>
                      </a:schemeClr>
                    </a:gs>
                  </a:gsLst>
                  <a:lin ang="5400000" scaled="1"/>
                </a:gradFill>
              </a:ln>
              <a:effectLst/>
            </c:spPr>
            <c:extLst>
              <c:ext xmlns:c16="http://schemas.microsoft.com/office/drawing/2014/chart" uri="{C3380CC4-5D6E-409C-BE32-E72D297353CC}">
                <c16:uniqueId val="{00000003-F47B-4F54-917D-9BD57D9AF092}"/>
              </c:ext>
            </c:extLst>
          </c:dPt>
          <c:val>
            <c:numRef>
              <c:f>'Average of job satisfaction'!$C$6:$C$7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F47B-4F54-917D-9BD57D9AF09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DE40BC"/>
                  </a:gs>
                  <a:gs pos="100000">
                    <a:srgbClr val="7030A0"/>
                  </a:gs>
                </a:gsLst>
                <a:lin ang="9600000" scaled="0"/>
              </a:gradFill>
              <a:ln w="19050">
                <a:noFill/>
              </a:ln>
              <a:effectLst/>
            </c:spPr>
            <c:extLst>
              <c:ext xmlns:c16="http://schemas.microsoft.com/office/drawing/2014/chart" uri="{C3380CC4-5D6E-409C-BE32-E72D297353CC}">
                <c16:uniqueId val="{00000001-BDC2-434A-9B66-59051E7184F5}"/>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BDC2-434A-9B66-59051E7184F5}"/>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BDC2-434A-9B66-59051E7184F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2C53-4A97-8D33-F6FAB5692505}"/>
              </c:ext>
            </c:extLst>
          </c:dPt>
          <c:dPt>
            <c:idx val="1"/>
            <c:bubble3D val="0"/>
            <c:spPr>
              <a:gradFill>
                <a:gsLst>
                  <a:gs pos="0">
                    <a:srgbClr val="7030A0"/>
                  </a:gs>
                  <a:gs pos="100000">
                    <a:srgbClr val="0526CB"/>
                  </a:gs>
                </a:gsLst>
                <a:lin ang="9600000" scaled="0"/>
              </a:gradFill>
              <a:ln w="19050">
                <a:noFill/>
              </a:ln>
              <a:effectLst/>
            </c:spPr>
            <c:extLst>
              <c:ext xmlns:c16="http://schemas.microsoft.com/office/drawing/2014/chart" uri="{C3380CC4-5D6E-409C-BE32-E72D297353CC}">
                <c16:uniqueId val="{00000003-2C53-4A97-8D33-F6FAB5692505}"/>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2C53-4A97-8D33-F6FAB569250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50000"/>
                </a:schemeClr>
              </a:gs>
              <a:gs pos="100000">
                <a:schemeClr val="accent2">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5">
                    <a:lumMod val="50000"/>
                  </a:schemeClr>
                </a:gs>
                <a:gs pos="100000">
                  <a:schemeClr val="accent2">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941-4E25-BE96-24F56E41D360}"/>
            </c:ext>
          </c:extLst>
        </c:ser>
        <c:dLbls>
          <c:dLblPos val="outEnd"/>
          <c:showLegendKey val="0"/>
          <c:showVal val="1"/>
          <c:showCatName val="0"/>
          <c:showSerName val="0"/>
          <c:showPercent val="0"/>
          <c:showBubbleSize val="0"/>
        </c:dLbls>
        <c:gapWidth val="75"/>
        <c:axId val="1034076688"/>
        <c:axId val="1034061808"/>
      </c:barChart>
      <c:catAx>
        <c:axId val="1034076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4061808"/>
        <c:crosses val="autoZero"/>
        <c:auto val="1"/>
        <c:lblAlgn val="ctr"/>
        <c:lblOffset val="100"/>
        <c:noMultiLvlLbl val="0"/>
      </c:catAx>
      <c:valAx>
        <c:axId val="1034061808"/>
        <c:scaling>
          <c:orientation val="minMax"/>
        </c:scaling>
        <c:delete val="1"/>
        <c:axPos val="b"/>
        <c:numFmt formatCode="General" sourceLinked="1"/>
        <c:majorTickMark val="out"/>
        <c:minorTickMark val="none"/>
        <c:tickLblPos val="nextTo"/>
        <c:crossAx val="103407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Project.xlsx]Dept wise Attribution!Department by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67E22"/>
          </a:solidFill>
          <a:ln w="19050">
            <a:solidFill>
              <a:schemeClr val="lt1"/>
            </a:solidFill>
          </a:ln>
          <a:effectLst/>
        </c:spPr>
      </c:pivotFmt>
      <c:pivotFmt>
        <c:idx val="7"/>
        <c:spPr>
          <a:gradFill>
            <a:gsLst>
              <a:gs pos="0">
                <a:srgbClr val="DE40BC"/>
              </a:gs>
              <a:gs pos="100000">
                <a:srgbClr val="601E47"/>
              </a:gs>
            </a:gsLst>
            <a:lin ang="0" scaled="0"/>
          </a:gradFill>
          <a:ln w="19050">
            <a:solidFill>
              <a:schemeClr val="lt1"/>
            </a:solidFill>
          </a:ln>
          <a:effectLst/>
        </c:spPr>
      </c:pivotFmt>
      <c:pivotFmt>
        <c:idx val="8"/>
        <c:spPr>
          <a:solidFill>
            <a:srgbClr val="2E86C1"/>
          </a:solidFill>
          <a:ln w="19050">
            <a:solidFill>
              <a:schemeClr val="lt1"/>
            </a:solidFill>
          </a:ln>
          <a:effectLst/>
        </c:spPr>
      </c:pivotFmt>
    </c:pivotFmts>
    <c:plotArea>
      <c:layout>
        <c:manualLayout>
          <c:layoutTarget val="inner"/>
          <c:xMode val="edge"/>
          <c:yMode val="edge"/>
          <c:x val="0.19316570098548999"/>
          <c:y val="4.4657097288676235E-2"/>
          <c:w val="0.44889937106918237"/>
          <c:h val="0.91068580542264754"/>
        </c:manualLayout>
      </c:layout>
      <c:pieChart>
        <c:varyColors val="1"/>
        <c:ser>
          <c:idx val="0"/>
          <c:order val="0"/>
          <c:tx>
            <c:strRef>
              <c:f>'Dept wise Attribution'!$B$3</c:f>
              <c:strCache>
                <c:ptCount val="1"/>
                <c:pt idx="0">
                  <c:v>Total</c:v>
                </c:pt>
              </c:strCache>
            </c:strRef>
          </c:tx>
          <c:dPt>
            <c:idx val="0"/>
            <c:bubble3D val="0"/>
            <c:spPr>
              <a:solidFill>
                <a:srgbClr val="E67E22"/>
              </a:solidFill>
              <a:ln w="19050">
                <a:solidFill>
                  <a:schemeClr val="lt1"/>
                </a:solidFill>
              </a:ln>
              <a:effectLst/>
            </c:spPr>
            <c:extLst>
              <c:ext xmlns:c16="http://schemas.microsoft.com/office/drawing/2014/chart" uri="{C3380CC4-5D6E-409C-BE32-E72D297353CC}">
                <c16:uniqueId val="{00000001-724A-46E1-B2DA-5A8A4F11C558}"/>
              </c:ext>
            </c:extLst>
          </c:dPt>
          <c:dPt>
            <c:idx val="1"/>
            <c:bubble3D val="0"/>
            <c:spPr>
              <a:gradFill>
                <a:gsLst>
                  <a:gs pos="0">
                    <a:srgbClr val="DE40BC"/>
                  </a:gs>
                  <a:gs pos="100000">
                    <a:srgbClr val="601E47"/>
                  </a:gs>
                </a:gsLst>
                <a:lin ang="0" scaled="0"/>
              </a:gradFill>
              <a:ln w="19050">
                <a:solidFill>
                  <a:schemeClr val="lt1"/>
                </a:solidFill>
              </a:ln>
              <a:effectLst/>
            </c:spPr>
            <c:extLst>
              <c:ext xmlns:c16="http://schemas.microsoft.com/office/drawing/2014/chart" uri="{C3380CC4-5D6E-409C-BE32-E72D297353CC}">
                <c16:uniqueId val="{00000003-724A-46E1-B2DA-5A8A4F11C558}"/>
              </c:ext>
            </c:extLst>
          </c:dPt>
          <c:dPt>
            <c:idx val="2"/>
            <c:bubble3D val="0"/>
            <c:spPr>
              <a:solidFill>
                <a:srgbClr val="2E86C1"/>
              </a:solidFill>
              <a:ln w="19050">
                <a:solidFill>
                  <a:schemeClr val="lt1"/>
                </a:solidFill>
              </a:ln>
              <a:effectLst/>
            </c:spPr>
            <c:extLst>
              <c:ext xmlns:c16="http://schemas.microsoft.com/office/drawing/2014/chart" uri="{C3380CC4-5D6E-409C-BE32-E72D297353CC}">
                <c16:uniqueId val="{00000005-724A-46E1-B2DA-5A8A4F11C558}"/>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Attribution'!$A$4:$A$7</c:f>
              <c:strCache>
                <c:ptCount val="3"/>
                <c:pt idx="0">
                  <c:v>HR</c:v>
                </c:pt>
                <c:pt idx="1">
                  <c:v>R&amp;D</c:v>
                </c:pt>
                <c:pt idx="2">
                  <c:v>Sales</c:v>
                </c:pt>
              </c:strCache>
            </c:strRef>
          </c:cat>
          <c:val>
            <c:numRef>
              <c:f>'Dept wise Attribution'!$B$4:$B$7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724A-46E1-B2DA-5A8A4F11C55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Project.xlsx]Attrition by Age Group!Attrition by Age</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chemeClr val="accent5">
                  <a:lumMod val="50000"/>
                </a:schemeClr>
              </a:gs>
              <a:gs pos="100000">
                <a:schemeClr val="accent2">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5">
                  <a:lumMod val="50000"/>
                </a:schemeClr>
              </a:gs>
              <a:gs pos="100000">
                <a:schemeClr val="accent2">
                  <a:lumMod val="75000"/>
                </a:schemeClr>
              </a:gs>
            </a:gsLst>
            <a:lin ang="5400000" scaled="0"/>
          </a:gradFill>
          <a:ln>
            <a:noFill/>
          </a:ln>
          <a:effectLst/>
        </c:spPr>
      </c:pivotFmt>
      <c:pivotFmt>
        <c:idx val="4"/>
        <c:spPr>
          <a:gradFill>
            <a:gsLst>
              <a:gs pos="0">
                <a:schemeClr val="accent5">
                  <a:lumMod val="50000"/>
                </a:schemeClr>
              </a:gs>
              <a:gs pos="100000">
                <a:schemeClr val="accent2">
                  <a:lumMod val="75000"/>
                </a:schemeClr>
              </a:gs>
            </a:gsLst>
            <a:lin ang="5400000" scaled="0"/>
          </a:gradFill>
          <a:ln>
            <a:noFill/>
          </a:ln>
          <a:effectLst/>
        </c:spPr>
      </c:pivotFmt>
      <c:pivotFmt>
        <c:idx val="5"/>
        <c:spPr>
          <a:gradFill>
            <a:gsLst>
              <a:gs pos="0">
                <a:schemeClr val="accent5">
                  <a:lumMod val="50000"/>
                </a:schemeClr>
              </a:gs>
              <a:gs pos="100000">
                <a:schemeClr val="accent2">
                  <a:lumMod val="75000"/>
                </a:schemeClr>
              </a:gs>
            </a:gsLst>
            <a:lin ang="5400000" scaled="0"/>
          </a:gradFill>
          <a:ln>
            <a:noFill/>
          </a:ln>
          <a:effectLst/>
        </c:spPr>
      </c:pivotFmt>
      <c:pivotFmt>
        <c:idx val="6"/>
        <c:spPr>
          <a:gradFill>
            <a:gsLst>
              <a:gs pos="0">
                <a:schemeClr val="accent5">
                  <a:lumMod val="50000"/>
                </a:schemeClr>
              </a:gs>
              <a:gs pos="100000">
                <a:schemeClr val="accent2">
                  <a:lumMod val="75000"/>
                </a:schemeClr>
              </a:gs>
            </a:gsLst>
            <a:lin ang="5400000" scaled="0"/>
          </a:gradFill>
          <a:ln>
            <a:noFill/>
          </a:ln>
          <a:effectLst/>
        </c:spPr>
      </c:pivotFmt>
      <c:pivotFmt>
        <c:idx val="7"/>
        <c:spPr>
          <a:gradFill>
            <a:gsLst>
              <a:gs pos="0">
                <a:schemeClr val="accent5">
                  <a:lumMod val="50000"/>
                </a:schemeClr>
              </a:gs>
              <a:gs pos="100000">
                <a:schemeClr val="accent2">
                  <a:lumMod val="75000"/>
                </a:schemeClr>
              </a:gs>
            </a:gsLst>
            <a:lin ang="5400000" scaled="0"/>
          </a:gradFill>
          <a:ln>
            <a:noFill/>
          </a:ln>
          <a:effectLst/>
        </c:spPr>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5">
                    <a:lumMod val="50000"/>
                  </a:schemeClr>
                </a:gs>
                <a:gs pos="100000">
                  <a:schemeClr val="accent2">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BDF-4321-BB0A-CDAF1750B78D}"/>
            </c:ext>
          </c:extLst>
        </c:ser>
        <c:dLbls>
          <c:dLblPos val="outEnd"/>
          <c:showLegendKey val="0"/>
          <c:showVal val="1"/>
          <c:showCatName val="0"/>
          <c:showSerName val="0"/>
          <c:showPercent val="0"/>
          <c:showBubbleSize val="0"/>
        </c:dLbls>
        <c:gapWidth val="100"/>
        <c:overlap val="-27"/>
        <c:axId val="1218355040"/>
        <c:axId val="1218355520"/>
      </c:barChart>
      <c:catAx>
        <c:axId val="121835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18355520"/>
        <c:crosses val="autoZero"/>
        <c:auto val="1"/>
        <c:lblAlgn val="ctr"/>
        <c:lblOffset val="100"/>
        <c:noMultiLvlLbl val="0"/>
      </c:catAx>
      <c:valAx>
        <c:axId val="1218355520"/>
        <c:scaling>
          <c:orientation val="minMax"/>
        </c:scaling>
        <c:delete val="1"/>
        <c:axPos val="l"/>
        <c:numFmt formatCode="General" sourceLinked="1"/>
        <c:majorTickMark val="none"/>
        <c:minorTickMark val="none"/>
        <c:tickLblPos val="nextTo"/>
        <c:crossAx val="121835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4E-4DD9-A5A9-5246950676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4E-4DD9-A5A9-52469506768E}"/>
              </c:ext>
            </c:extLst>
          </c:dPt>
          <c:val>
            <c:numRef>
              <c:f>'Average of job satisfaction'!$C$6:$C$7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9A88-47A1-A5B7-CAB82779597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'Average of job satisfaction'!$B$6</c:f>
              <c:numCache>
                <c:formatCode>0.0</c:formatCode>
                <c:ptCount val="1"/>
                <c:pt idx="0">
                  <c:v>2.6265306122448981</c:v>
                </c:pt>
              </c:numCache>
            </c:numRef>
          </c:val>
          <c:extLst>
            <c:ext xmlns:c16="http://schemas.microsoft.com/office/drawing/2014/chart" uri="{C3380CC4-5D6E-409C-BE32-E72D297353CC}">
              <c16:uniqueId val="{00000000-5957-437C-B571-CE3EC3D74C15}"/>
            </c:ext>
          </c:extLst>
        </c:ser>
        <c:ser>
          <c:idx val="1"/>
          <c:order val="1"/>
          <c:spPr>
            <a:solidFill>
              <a:schemeClr val="accent2"/>
            </a:solidFill>
            <a:ln>
              <a:noFill/>
            </a:ln>
            <a:effectLst/>
          </c:spPr>
          <c:invertIfNegative val="0"/>
          <c:val>
            <c:numRef>
              <c:f>'Average of job satisfaction'!$B$7</c:f>
              <c:numCache>
                <c:formatCode>0.0</c:formatCode>
                <c:ptCount val="1"/>
                <c:pt idx="0">
                  <c:v>1.3734693877551019</c:v>
                </c:pt>
              </c:numCache>
            </c:numRef>
          </c:val>
          <c:extLst>
            <c:ext xmlns:c16="http://schemas.microsoft.com/office/drawing/2014/chart" uri="{C3380CC4-5D6E-409C-BE32-E72D297353CC}">
              <c16:uniqueId val="{00000004-5957-437C-B571-CE3EC3D74C15}"/>
            </c:ext>
          </c:extLst>
        </c:ser>
        <c:dLbls>
          <c:showLegendKey val="0"/>
          <c:showVal val="0"/>
          <c:showCatName val="0"/>
          <c:showSerName val="0"/>
          <c:showPercent val="0"/>
          <c:showBubbleSize val="0"/>
        </c:dLbls>
        <c:gapWidth val="0"/>
        <c:overlap val="100"/>
        <c:axId val="1697369695"/>
        <c:axId val="1697370175"/>
      </c:barChart>
      <c:catAx>
        <c:axId val="1697369695"/>
        <c:scaling>
          <c:orientation val="minMax"/>
        </c:scaling>
        <c:delete val="1"/>
        <c:axPos val="l"/>
        <c:majorTickMark val="out"/>
        <c:minorTickMark val="none"/>
        <c:tickLblPos val="nextTo"/>
        <c:crossAx val="1697370175"/>
        <c:crosses val="autoZero"/>
        <c:auto val="1"/>
        <c:lblAlgn val="ctr"/>
        <c:lblOffset val="100"/>
        <c:noMultiLvlLbl val="0"/>
      </c:catAx>
      <c:valAx>
        <c:axId val="1697370175"/>
        <c:scaling>
          <c:orientation val="minMax"/>
          <c:max val="4"/>
        </c:scaling>
        <c:delete val="1"/>
        <c:axPos val="b"/>
        <c:numFmt formatCode="0.0" sourceLinked="1"/>
        <c:majorTickMark val="out"/>
        <c:minorTickMark val="none"/>
        <c:tickLblPos val="nextTo"/>
        <c:crossAx val="169736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2C-40D3-9896-3CC150D6D8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2C-40D3-9896-3CC150D6D86D}"/>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DCF1-47DD-B7B5-9D28F60860A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BEF-4E13-A2A6-12389BFDB9AD}"/>
            </c:ext>
          </c:extLst>
        </c:ser>
        <c:dLbls>
          <c:dLblPos val="outEnd"/>
          <c:showLegendKey val="0"/>
          <c:showVal val="1"/>
          <c:showCatName val="0"/>
          <c:showSerName val="0"/>
          <c:showPercent val="0"/>
          <c:showBubbleSize val="0"/>
        </c:dLbls>
        <c:gapWidth val="182"/>
        <c:axId val="1034076688"/>
        <c:axId val="1034061808"/>
      </c:barChart>
      <c:catAx>
        <c:axId val="1034076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061808"/>
        <c:crosses val="autoZero"/>
        <c:auto val="1"/>
        <c:lblAlgn val="ctr"/>
        <c:lblOffset val="100"/>
        <c:noMultiLvlLbl val="0"/>
      </c:catAx>
      <c:valAx>
        <c:axId val="1034061808"/>
        <c:scaling>
          <c:orientation val="minMax"/>
        </c:scaling>
        <c:delete val="1"/>
        <c:axPos val="b"/>
        <c:numFmt formatCode="General" sourceLinked="1"/>
        <c:majorTickMark val="out"/>
        <c:minorTickMark val="none"/>
        <c:tickLblPos val="nextTo"/>
        <c:crossAx val="103407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Project.xlsx]Dept wise Attribution!Department by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FB-4D31-99C4-FBDCBBC979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FB-4D31-99C4-FBDCBBC979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FB-4D31-99C4-FBDCBBC97936}"/>
              </c:ext>
            </c:extLst>
          </c:dPt>
          <c:cat>
            <c:strRef>
              <c:f>'Dept wise Attribution'!$A$4:$A$7</c:f>
              <c:strCache>
                <c:ptCount val="3"/>
                <c:pt idx="0">
                  <c:v>HR</c:v>
                </c:pt>
                <c:pt idx="1">
                  <c:v>R&amp;D</c:v>
                </c:pt>
                <c:pt idx="2">
                  <c:v>Sales</c:v>
                </c:pt>
              </c:strCache>
            </c:strRef>
          </c:cat>
          <c:val>
            <c:numRef>
              <c:f>'Dept wise Attribution'!$B$4:$B$7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477F-44FC-A230-37DABFA6B11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Project.xlsx]Attrition by Age Group!Attrition by Age</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802-495B-BF99-0060F8B6CA76}"/>
            </c:ext>
          </c:extLst>
        </c:ser>
        <c:dLbls>
          <c:showLegendKey val="0"/>
          <c:showVal val="0"/>
          <c:showCatName val="0"/>
          <c:showSerName val="0"/>
          <c:showPercent val="0"/>
          <c:showBubbleSize val="0"/>
        </c:dLbls>
        <c:gapWidth val="219"/>
        <c:overlap val="-27"/>
        <c:axId val="1218355040"/>
        <c:axId val="1218355520"/>
      </c:barChart>
      <c:catAx>
        <c:axId val="121835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355520"/>
        <c:crosses val="autoZero"/>
        <c:auto val="1"/>
        <c:lblAlgn val="ctr"/>
        <c:lblOffset val="100"/>
        <c:noMultiLvlLbl val="0"/>
      </c:catAx>
      <c:valAx>
        <c:axId val="1218355520"/>
        <c:scaling>
          <c:orientation val="minMax"/>
        </c:scaling>
        <c:delete val="1"/>
        <c:axPos val="l"/>
        <c:numFmt formatCode="General" sourceLinked="1"/>
        <c:majorTickMark val="none"/>
        <c:minorTickMark val="none"/>
        <c:tickLblPos val="nextTo"/>
        <c:crossAx val="121835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3A4452A0-BAE0-43D0-947F-229289648C3B}">
          <cx:dataPt idx="2">
            <cx:spPr>
              <a:solidFill>
                <a:srgbClr val="0526CB"/>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EAB61E6-5ACC-48A7-B809-D6D680E812DA}">
          <cx:tx>
            <cx:txData>
              <cx:f>_xlchart.v2.1</cx:f>
              <cx:v>Attrition</cx:v>
            </cx:txData>
          </cx:tx>
          <cx:spPr>
            <a:gradFill>
              <a:gsLst>
                <a:gs pos="0">
                  <a:schemeClr val="accent5">
                    <a:lumMod val="50000"/>
                  </a:schemeClr>
                </a:gs>
                <a:gs pos="100000">
                  <a:schemeClr val="accent2">
                    <a:lumMod val="75000"/>
                  </a:schemeClr>
                </a:gs>
              </a:gsLst>
              <a:lin ang="10800000" scaled="0"/>
            </a:gra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3A4452A0-BAE0-43D0-947F-229289648C3B}">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1EAB61E6-5ACC-48A7-B809-D6D680E812DA}">
          <cx:tx>
            <cx:txData>
              <cx:f>_xlchart.v2.8</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10.pn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openxmlformats.org/officeDocument/2006/relationships/chart" Target="../charts/chart5.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chart" Target="../charts/chart3.xml"/><Relationship Id="rId19"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microsoft.com/office/2014/relationships/chartEx" Target="../charts/chartEx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microsoft.com/office/2014/relationships/chartEx" Target="../charts/chartEx4.xml"/></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240031</xdr:colOff>
      <xdr:row>0</xdr:row>
      <xdr:rowOff>139064</xdr:rowOff>
    </xdr:from>
    <xdr:ext cx="14171294" cy="6814185"/>
    <xdr:grpSp>
      <xdr:nvGrpSpPr>
        <xdr:cNvPr id="79" name="Shape 79">
          <a:extLst>
            <a:ext uri="{FF2B5EF4-FFF2-40B4-BE49-F238E27FC236}">
              <a16:creationId xmlns:a16="http://schemas.microsoft.com/office/drawing/2014/main" id="{00000000-0008-0000-0500-00004F000000}"/>
            </a:ext>
          </a:extLst>
        </xdr:cNvPr>
        <xdr:cNvGrpSpPr/>
      </xdr:nvGrpSpPr>
      <xdr:grpSpPr>
        <a:xfrm>
          <a:off x="1554481" y="139064"/>
          <a:ext cx="14171294" cy="681418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solidFill>
                <a:schemeClr val="tx1">
                  <a:lumMod val="95000"/>
                  <a:lumOff val="5000"/>
                </a:schemeClr>
              </a:solidFill>
            </a:endParaRPr>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FFC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tx1">
                    <a:lumMod val="95000"/>
                    <a:lumOff val="5000"/>
                  </a:schemeClr>
                </a:solidFill>
                <a:latin typeface="Calibri"/>
                <a:ea typeface="Calibri"/>
                <a:cs typeface="Calibri"/>
                <a:sym typeface="Calibri"/>
              </a:rPr>
              <a:t>`</a:t>
            </a:r>
            <a:endParaRPr sz="1400">
              <a:solidFill>
                <a:schemeClr val="tx1">
                  <a:lumMod val="95000"/>
                  <a:lumOff val="5000"/>
                </a:schemeClr>
              </a:solidFill>
            </a:endParaRPr>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chemeClr val="tx1">
                  <a:lumMod val="95000"/>
                  <a:lumOff val="5000"/>
                </a:schemeClr>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tx1">
                  <a:lumMod val="95000"/>
                  <a:lumOff val="5000"/>
                </a:schemeClr>
              </a:solidFill>
            </a:endParaRPr>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clientData fLocksWithSheet="0"/>
  </xdr:oneCellAnchor>
  <xdr:twoCellAnchor>
    <xdr:from>
      <xdr:col>2</xdr:col>
      <xdr:colOff>381000</xdr:colOff>
      <xdr:row>5</xdr:row>
      <xdr:rowOff>66674</xdr:rowOff>
    </xdr:from>
    <xdr:to>
      <xdr:col>5</xdr:col>
      <xdr:colOff>590550</xdr:colOff>
      <xdr:row>6</xdr:row>
      <xdr:rowOff>19049</xdr:rowOff>
    </xdr:to>
    <xdr:sp macro="" textlink="">
      <xdr:nvSpPr>
        <xdr:cNvPr id="3" name="TextBox 2">
          <a:extLst>
            <a:ext uri="{FF2B5EF4-FFF2-40B4-BE49-F238E27FC236}">
              <a16:creationId xmlns:a16="http://schemas.microsoft.com/office/drawing/2014/main" id="{86BE5BF2-1FBF-DFC1-63A7-0F222B04550E}"/>
            </a:ext>
          </a:extLst>
        </xdr:cNvPr>
        <xdr:cNvSpPr txBox="1"/>
      </xdr:nvSpPr>
      <xdr:spPr>
        <a:xfrm>
          <a:off x="1695450" y="1019174"/>
          <a:ext cx="21812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Arial Black" panose="020B0A04020102020204" pitchFamily="34" charset="0"/>
            </a:rPr>
            <a:t>Total</a:t>
          </a:r>
          <a:r>
            <a:rPr lang="en-IN" sz="1800" baseline="0">
              <a:solidFill>
                <a:srgbClr val="602928"/>
              </a:solidFill>
              <a:latin typeface="Arial Black" panose="020B0A04020102020204" pitchFamily="34" charset="0"/>
            </a:rPr>
            <a:t> Employees</a:t>
          </a:r>
          <a:endParaRPr lang="en-IN" sz="1800">
            <a:solidFill>
              <a:srgbClr val="602928"/>
            </a:solidFill>
            <a:latin typeface="Arial Black" panose="020B0A04020102020204" pitchFamily="34" charset="0"/>
          </a:endParaRPr>
        </a:p>
      </xdr:txBody>
    </xdr:sp>
    <xdr:clientData/>
  </xdr:twoCellAnchor>
  <xdr:twoCellAnchor>
    <xdr:from>
      <xdr:col>3</xdr:col>
      <xdr:colOff>304800</xdr:colOff>
      <xdr:row>6</xdr:row>
      <xdr:rowOff>57150</xdr:rowOff>
    </xdr:from>
    <xdr:to>
      <xdr:col>4</xdr:col>
      <xdr:colOff>647700</xdr:colOff>
      <xdr:row>8</xdr:row>
      <xdr:rowOff>142875</xdr:rowOff>
    </xdr:to>
    <xdr:sp macro="" textlink="KPI!A9">
      <xdr:nvSpPr>
        <xdr:cNvPr id="5" name="TextBox 4">
          <a:extLst>
            <a:ext uri="{FF2B5EF4-FFF2-40B4-BE49-F238E27FC236}">
              <a16:creationId xmlns:a16="http://schemas.microsoft.com/office/drawing/2014/main" id="{51D84ACF-6B9D-050E-6163-438D3F372FE7}"/>
            </a:ext>
          </a:extLst>
        </xdr:cNvPr>
        <xdr:cNvSpPr txBox="1"/>
      </xdr:nvSpPr>
      <xdr:spPr>
        <a:xfrm>
          <a:off x="2276475" y="1409700"/>
          <a:ext cx="10001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F045AC-EBD9-47FD-AB31-FDCD392F01BF}" type="TxLink">
            <a:rPr lang="en-US" sz="2000" b="0" i="0" u="none" strike="noStrike">
              <a:solidFill>
                <a:srgbClr val="002060"/>
              </a:solidFill>
              <a:latin typeface="Arial Black" panose="020B0A04020102020204" pitchFamily="34" charset="0"/>
              <a:ea typeface="Calibri"/>
              <a:cs typeface="Calibri"/>
            </a:rPr>
            <a:pPr/>
            <a:t>1470</a:t>
          </a:fld>
          <a:endParaRPr lang="en-IN" sz="1800">
            <a:solidFill>
              <a:srgbClr val="002060"/>
            </a:solidFill>
            <a:latin typeface="Arial Black" panose="020B0A04020102020204" pitchFamily="34" charset="0"/>
          </a:endParaRPr>
        </a:p>
      </xdr:txBody>
    </xdr:sp>
    <xdr:clientData/>
  </xdr:twoCellAnchor>
  <xdr:twoCellAnchor>
    <xdr:from>
      <xdr:col>6</xdr:col>
      <xdr:colOff>544831</xdr:colOff>
      <xdr:row>5</xdr:row>
      <xdr:rowOff>81914</xdr:rowOff>
    </xdr:from>
    <xdr:to>
      <xdr:col>10</xdr:col>
      <xdr:colOff>97156</xdr:colOff>
      <xdr:row>6</xdr:row>
      <xdr:rowOff>34289</xdr:rowOff>
    </xdr:to>
    <xdr:sp macro="" textlink="">
      <xdr:nvSpPr>
        <xdr:cNvPr id="17" name="TextBox 16">
          <a:extLst>
            <a:ext uri="{FF2B5EF4-FFF2-40B4-BE49-F238E27FC236}">
              <a16:creationId xmlns:a16="http://schemas.microsoft.com/office/drawing/2014/main" id="{5F248619-8C49-4E43-8CBB-8947A2A6F06C}"/>
            </a:ext>
          </a:extLst>
        </xdr:cNvPr>
        <xdr:cNvSpPr txBox="1"/>
      </xdr:nvSpPr>
      <xdr:spPr>
        <a:xfrm>
          <a:off x="4488181" y="1034414"/>
          <a:ext cx="21812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Arial Black" panose="020B0A04020102020204" pitchFamily="34" charset="0"/>
            </a:rPr>
            <a:t>Attrition</a:t>
          </a:r>
        </a:p>
      </xdr:txBody>
    </xdr:sp>
    <xdr:clientData/>
  </xdr:twoCellAnchor>
  <xdr:twoCellAnchor>
    <xdr:from>
      <xdr:col>6</xdr:col>
      <xdr:colOff>600075</xdr:colOff>
      <xdr:row>6</xdr:row>
      <xdr:rowOff>66675</xdr:rowOff>
    </xdr:from>
    <xdr:to>
      <xdr:col>10</xdr:col>
      <xdr:colOff>200025</xdr:colOff>
      <xdr:row>9</xdr:row>
      <xdr:rowOff>0</xdr:rowOff>
    </xdr:to>
    <xdr:sp macro="" textlink="KPI!B9">
      <xdr:nvSpPr>
        <xdr:cNvPr id="18" name="TextBox 17">
          <a:extLst>
            <a:ext uri="{FF2B5EF4-FFF2-40B4-BE49-F238E27FC236}">
              <a16:creationId xmlns:a16="http://schemas.microsoft.com/office/drawing/2014/main" id="{AF164930-E94A-440A-8EA4-A3172A7C946B}"/>
            </a:ext>
          </a:extLst>
        </xdr:cNvPr>
        <xdr:cNvSpPr txBox="1"/>
      </xdr:nvSpPr>
      <xdr:spPr>
        <a:xfrm>
          <a:off x="4543425" y="1419225"/>
          <a:ext cx="22288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0BBF6B-5205-401A-95B5-2774500D1E85}" type="TxLink">
            <a:rPr lang="en-US" sz="2000" b="0" i="0" u="none" strike="noStrike">
              <a:solidFill>
                <a:srgbClr val="000000"/>
              </a:solidFill>
              <a:latin typeface="Arial Black" panose="020B0A04020102020204" pitchFamily="34" charset="0"/>
              <a:ea typeface="Calibri"/>
              <a:cs typeface="Calibri"/>
            </a:rPr>
            <a:pPr algn="ctr"/>
            <a:t>237</a:t>
          </a:fld>
          <a:endParaRPr lang="en-IN" sz="3200">
            <a:solidFill>
              <a:srgbClr val="002060"/>
            </a:solidFill>
            <a:latin typeface="Arial Black" panose="020B0A04020102020204" pitchFamily="34" charset="0"/>
          </a:endParaRPr>
        </a:p>
      </xdr:txBody>
    </xdr:sp>
    <xdr:clientData/>
  </xdr:twoCellAnchor>
  <xdr:twoCellAnchor>
    <xdr:from>
      <xdr:col>11</xdr:col>
      <xdr:colOff>85725</xdr:colOff>
      <xdr:row>5</xdr:row>
      <xdr:rowOff>100964</xdr:rowOff>
    </xdr:from>
    <xdr:to>
      <xdr:col>14</xdr:col>
      <xdr:colOff>333375</xdr:colOff>
      <xdr:row>6</xdr:row>
      <xdr:rowOff>53339</xdr:rowOff>
    </xdr:to>
    <xdr:sp macro="" textlink="">
      <xdr:nvSpPr>
        <xdr:cNvPr id="156" name="TextBox 155">
          <a:extLst>
            <a:ext uri="{FF2B5EF4-FFF2-40B4-BE49-F238E27FC236}">
              <a16:creationId xmlns:a16="http://schemas.microsoft.com/office/drawing/2014/main" id="{FB0AEC56-2C3B-4DB0-9FDA-B57691AC3423}"/>
            </a:ext>
          </a:extLst>
        </xdr:cNvPr>
        <xdr:cNvSpPr txBox="1"/>
      </xdr:nvSpPr>
      <xdr:spPr>
        <a:xfrm>
          <a:off x="7315200" y="1053464"/>
          <a:ext cx="2219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Arial Black" panose="020B0A04020102020204" pitchFamily="34" charset="0"/>
            </a:rPr>
            <a:t>Active</a:t>
          </a:r>
          <a:r>
            <a:rPr lang="en-IN" sz="1800" baseline="0">
              <a:solidFill>
                <a:srgbClr val="602928"/>
              </a:solidFill>
              <a:latin typeface="Arial Black" panose="020B0A04020102020204" pitchFamily="34" charset="0"/>
            </a:rPr>
            <a:t> Employees</a:t>
          </a:r>
          <a:endParaRPr lang="en-IN" sz="1800">
            <a:solidFill>
              <a:srgbClr val="602928"/>
            </a:solidFill>
            <a:latin typeface="Arial Black" panose="020B0A04020102020204" pitchFamily="34" charset="0"/>
          </a:endParaRPr>
        </a:p>
      </xdr:txBody>
    </xdr:sp>
    <xdr:clientData/>
  </xdr:twoCellAnchor>
  <xdr:twoCellAnchor>
    <xdr:from>
      <xdr:col>11</xdr:col>
      <xdr:colOff>95250</xdr:colOff>
      <xdr:row>6</xdr:row>
      <xdr:rowOff>57151</xdr:rowOff>
    </xdr:from>
    <xdr:to>
      <xdr:col>14</xdr:col>
      <xdr:colOff>352425</xdr:colOff>
      <xdr:row>8</xdr:row>
      <xdr:rowOff>171451</xdr:rowOff>
    </xdr:to>
    <xdr:sp macro="" textlink="KPI!D9">
      <xdr:nvSpPr>
        <xdr:cNvPr id="157" name="TextBox 156">
          <a:extLst>
            <a:ext uri="{FF2B5EF4-FFF2-40B4-BE49-F238E27FC236}">
              <a16:creationId xmlns:a16="http://schemas.microsoft.com/office/drawing/2014/main" id="{3CEE27B9-53F9-4FED-BB8F-CF0A25349B92}"/>
            </a:ext>
          </a:extLst>
        </xdr:cNvPr>
        <xdr:cNvSpPr txBox="1"/>
      </xdr:nvSpPr>
      <xdr:spPr>
        <a:xfrm>
          <a:off x="7324725" y="1409701"/>
          <a:ext cx="22288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FDA2C0-D489-4E08-9515-422964BE5D00}" type="TxLink">
            <a:rPr lang="en-US" sz="2000" b="0" i="0" u="none" strike="noStrike">
              <a:solidFill>
                <a:srgbClr val="000000"/>
              </a:solidFill>
              <a:latin typeface="Arial Black" panose="020B0A04020102020204" pitchFamily="34" charset="0"/>
              <a:ea typeface="Calibri"/>
              <a:cs typeface="Calibri"/>
            </a:rPr>
            <a:pPr algn="ctr"/>
            <a:t>1233</a:t>
          </a:fld>
          <a:endParaRPr lang="en-IN" sz="4800">
            <a:solidFill>
              <a:srgbClr val="002060"/>
            </a:solidFill>
            <a:latin typeface="Arial Black" panose="020B0A04020102020204" pitchFamily="34" charset="0"/>
          </a:endParaRPr>
        </a:p>
      </xdr:txBody>
    </xdr:sp>
    <xdr:clientData/>
  </xdr:twoCellAnchor>
  <xdr:twoCellAnchor>
    <xdr:from>
      <xdr:col>15</xdr:col>
      <xdr:colOff>266701</xdr:colOff>
      <xdr:row>5</xdr:row>
      <xdr:rowOff>104776</xdr:rowOff>
    </xdr:from>
    <xdr:to>
      <xdr:col>18</xdr:col>
      <xdr:colOff>582932</xdr:colOff>
      <xdr:row>6</xdr:row>
      <xdr:rowOff>91440</xdr:rowOff>
    </xdr:to>
    <xdr:sp macro="" textlink="">
      <xdr:nvSpPr>
        <xdr:cNvPr id="158" name="TextBox 157">
          <a:extLst>
            <a:ext uri="{FF2B5EF4-FFF2-40B4-BE49-F238E27FC236}">
              <a16:creationId xmlns:a16="http://schemas.microsoft.com/office/drawing/2014/main" id="{8E20F1DA-574A-4671-A55E-CA68E6594EDD}"/>
            </a:ext>
          </a:extLst>
        </xdr:cNvPr>
        <xdr:cNvSpPr txBox="1"/>
      </xdr:nvSpPr>
      <xdr:spPr>
        <a:xfrm>
          <a:off x="10125076" y="1057276"/>
          <a:ext cx="2287906" cy="386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Arial Black" panose="020B0A04020102020204" pitchFamily="34" charset="0"/>
            </a:rPr>
            <a:t>Attrition Rate</a:t>
          </a:r>
        </a:p>
      </xdr:txBody>
    </xdr:sp>
    <xdr:clientData/>
  </xdr:twoCellAnchor>
  <xdr:twoCellAnchor>
    <xdr:from>
      <xdr:col>15</xdr:col>
      <xdr:colOff>428625</xdr:colOff>
      <xdr:row>6</xdr:row>
      <xdr:rowOff>43815</xdr:rowOff>
    </xdr:from>
    <xdr:to>
      <xdr:col>19</xdr:col>
      <xdr:colOff>28575</xdr:colOff>
      <xdr:row>9</xdr:row>
      <xdr:rowOff>0</xdr:rowOff>
    </xdr:to>
    <xdr:sp macro="" textlink="KPI!E9">
      <xdr:nvSpPr>
        <xdr:cNvPr id="159" name="TextBox 158">
          <a:extLst>
            <a:ext uri="{FF2B5EF4-FFF2-40B4-BE49-F238E27FC236}">
              <a16:creationId xmlns:a16="http://schemas.microsoft.com/office/drawing/2014/main" id="{E8E5FA02-5143-4C1A-AC59-5B8954ADA8F3}"/>
            </a:ext>
          </a:extLst>
        </xdr:cNvPr>
        <xdr:cNvSpPr txBox="1"/>
      </xdr:nvSpPr>
      <xdr:spPr>
        <a:xfrm>
          <a:off x="10287000" y="1396365"/>
          <a:ext cx="2228850"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7B96A0-9609-4785-A30F-9D540291BB44}" type="TxLink">
            <a:rPr lang="en-US" sz="2000" b="0" i="0" u="none" strike="noStrike">
              <a:solidFill>
                <a:srgbClr val="000000"/>
              </a:solidFill>
              <a:latin typeface="Arial Black" panose="020B0A04020102020204" pitchFamily="34" charset="0"/>
              <a:ea typeface="Calibri"/>
              <a:cs typeface="Calibri"/>
            </a:rPr>
            <a:pPr algn="ctr"/>
            <a:t>16.12%</a:t>
          </a:fld>
          <a:endParaRPr lang="en-IN" sz="4800">
            <a:solidFill>
              <a:srgbClr val="002060"/>
            </a:solidFill>
            <a:latin typeface="Arial Black" panose="020B0A04020102020204" pitchFamily="34" charset="0"/>
          </a:endParaRPr>
        </a:p>
      </xdr:txBody>
    </xdr:sp>
    <xdr:clientData/>
  </xdr:twoCellAnchor>
  <xdr:twoCellAnchor>
    <xdr:from>
      <xdr:col>19</xdr:col>
      <xdr:colOff>409576</xdr:colOff>
      <xdr:row>5</xdr:row>
      <xdr:rowOff>100964</xdr:rowOff>
    </xdr:from>
    <xdr:to>
      <xdr:col>23</xdr:col>
      <xdr:colOff>49532</xdr:colOff>
      <xdr:row>6</xdr:row>
      <xdr:rowOff>53339</xdr:rowOff>
    </xdr:to>
    <xdr:sp macro="" textlink="">
      <xdr:nvSpPr>
        <xdr:cNvPr id="160" name="TextBox 159">
          <a:extLst>
            <a:ext uri="{FF2B5EF4-FFF2-40B4-BE49-F238E27FC236}">
              <a16:creationId xmlns:a16="http://schemas.microsoft.com/office/drawing/2014/main" id="{2B1AA74D-2E25-4A58-A668-7F4E31504794}"/>
            </a:ext>
          </a:extLst>
        </xdr:cNvPr>
        <xdr:cNvSpPr txBox="1"/>
      </xdr:nvSpPr>
      <xdr:spPr>
        <a:xfrm>
          <a:off x="12896851" y="1053464"/>
          <a:ext cx="2268856"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Arial Black" panose="020B0A04020102020204" pitchFamily="34" charset="0"/>
            </a:rPr>
            <a:t>Average</a:t>
          </a:r>
          <a:r>
            <a:rPr lang="en-IN" sz="1800" baseline="0">
              <a:solidFill>
                <a:srgbClr val="602928"/>
              </a:solidFill>
              <a:latin typeface="Arial Black" panose="020B0A04020102020204" pitchFamily="34" charset="0"/>
            </a:rPr>
            <a:t> Age</a:t>
          </a:r>
          <a:endParaRPr lang="en-IN" sz="1800">
            <a:solidFill>
              <a:srgbClr val="602928"/>
            </a:solidFill>
            <a:latin typeface="Arial Black" panose="020B0A04020102020204" pitchFamily="34" charset="0"/>
          </a:endParaRPr>
        </a:p>
      </xdr:txBody>
    </xdr:sp>
    <xdr:clientData/>
  </xdr:twoCellAnchor>
  <xdr:twoCellAnchor>
    <xdr:from>
      <xdr:col>19</xdr:col>
      <xdr:colOff>552450</xdr:colOff>
      <xdr:row>6</xdr:row>
      <xdr:rowOff>5715</xdr:rowOff>
    </xdr:from>
    <xdr:to>
      <xdr:col>23</xdr:col>
      <xdr:colOff>28575</xdr:colOff>
      <xdr:row>8</xdr:row>
      <xdr:rowOff>5714</xdr:rowOff>
    </xdr:to>
    <xdr:sp macro="" textlink="KPI!C9">
      <xdr:nvSpPr>
        <xdr:cNvPr id="161" name="TextBox 160">
          <a:extLst>
            <a:ext uri="{FF2B5EF4-FFF2-40B4-BE49-F238E27FC236}">
              <a16:creationId xmlns:a16="http://schemas.microsoft.com/office/drawing/2014/main" id="{CE2F0B80-97C0-4CE7-B2DD-F1EBC04EF6AF}"/>
            </a:ext>
          </a:extLst>
        </xdr:cNvPr>
        <xdr:cNvSpPr txBox="1"/>
      </xdr:nvSpPr>
      <xdr:spPr>
        <a:xfrm>
          <a:off x="13039725" y="1358265"/>
          <a:ext cx="2105025"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739057-DC3A-4D90-A3B1-A18CBF751826}" type="TxLink">
            <a:rPr lang="en-US" sz="2200" b="0" i="0" u="none" strike="noStrike">
              <a:solidFill>
                <a:srgbClr val="000000"/>
              </a:solidFill>
              <a:latin typeface="Arial Black" panose="020B0A04020102020204" pitchFamily="34" charset="0"/>
              <a:ea typeface="Calibri"/>
              <a:cs typeface="Calibri"/>
            </a:rPr>
            <a:pPr algn="ctr"/>
            <a:t>37</a:t>
          </a:fld>
          <a:endParaRPr lang="en-IN" sz="2200">
            <a:solidFill>
              <a:srgbClr val="002060"/>
            </a:solidFill>
            <a:latin typeface="Arial Black" panose="020B0A04020102020204" pitchFamily="34" charset="0"/>
          </a:endParaRPr>
        </a:p>
      </xdr:txBody>
    </xdr:sp>
    <xdr:clientData/>
  </xdr:twoCellAnchor>
  <xdr:oneCellAnchor>
    <xdr:from>
      <xdr:col>5</xdr:col>
      <xdr:colOff>619125</xdr:colOff>
      <xdr:row>5</xdr:row>
      <xdr:rowOff>142875</xdr:rowOff>
    </xdr:from>
    <xdr:ext cx="409574" cy="352425"/>
    <xdr:pic>
      <xdr:nvPicPr>
        <xdr:cNvPr id="162" name="image4.png">
          <a:extLst>
            <a:ext uri="{FF2B5EF4-FFF2-40B4-BE49-F238E27FC236}">
              <a16:creationId xmlns:a16="http://schemas.microsoft.com/office/drawing/2014/main" id="{05F7D2C2-791A-4038-9016-9325D7722CDE}"/>
            </a:ext>
          </a:extLst>
        </xdr:cNvPr>
        <xdr:cNvPicPr preferRelativeResize="0"/>
      </xdr:nvPicPr>
      <xdr:blipFill>
        <a:blip xmlns:r="http://schemas.openxmlformats.org/officeDocument/2006/relationships" r:embed="rId1" cstate="print"/>
        <a:stretch>
          <a:fillRect/>
        </a:stretch>
      </xdr:blipFill>
      <xdr:spPr>
        <a:xfrm>
          <a:off x="3905250" y="1143000"/>
          <a:ext cx="409574" cy="352425"/>
        </a:xfrm>
        <a:prstGeom prst="rect">
          <a:avLst/>
        </a:prstGeom>
        <a:solidFill>
          <a:srgbClr val="92D050"/>
        </a:solidFill>
      </xdr:spPr>
    </xdr:pic>
    <xdr:clientData fLocksWithSheet="0"/>
  </xdr:oneCellAnchor>
  <xdr:oneCellAnchor>
    <xdr:from>
      <xdr:col>14</xdr:col>
      <xdr:colOff>306706</xdr:colOff>
      <xdr:row>5</xdr:row>
      <xdr:rowOff>129539</xdr:rowOff>
    </xdr:from>
    <xdr:ext cx="419100" cy="304800"/>
    <xdr:pic>
      <xdr:nvPicPr>
        <xdr:cNvPr id="163" name="image5.png">
          <a:extLst>
            <a:ext uri="{FF2B5EF4-FFF2-40B4-BE49-F238E27FC236}">
              <a16:creationId xmlns:a16="http://schemas.microsoft.com/office/drawing/2014/main" id="{6401EC7D-96ED-4742-BEC6-C2502F6F31B4}"/>
            </a:ext>
          </a:extLst>
        </xdr:cNvPr>
        <xdr:cNvPicPr preferRelativeResize="0"/>
      </xdr:nvPicPr>
      <xdr:blipFill>
        <a:blip xmlns:r="http://schemas.openxmlformats.org/officeDocument/2006/relationships" r:embed="rId2" cstate="print"/>
        <a:stretch>
          <a:fillRect/>
        </a:stretch>
      </xdr:blipFill>
      <xdr:spPr>
        <a:xfrm>
          <a:off x="9507856" y="1129664"/>
          <a:ext cx="419100" cy="304800"/>
        </a:xfrm>
        <a:prstGeom prst="rect">
          <a:avLst/>
        </a:prstGeom>
        <a:noFill/>
      </xdr:spPr>
    </xdr:pic>
    <xdr:clientData fLocksWithSheet="0"/>
  </xdr:oneCellAnchor>
  <xdr:oneCellAnchor>
    <xdr:from>
      <xdr:col>18</xdr:col>
      <xdr:colOff>544831</xdr:colOff>
      <xdr:row>5</xdr:row>
      <xdr:rowOff>100964</xdr:rowOff>
    </xdr:from>
    <xdr:ext cx="390525" cy="314325"/>
    <xdr:pic>
      <xdr:nvPicPr>
        <xdr:cNvPr id="164" name="image2.png">
          <a:extLst>
            <a:ext uri="{FF2B5EF4-FFF2-40B4-BE49-F238E27FC236}">
              <a16:creationId xmlns:a16="http://schemas.microsoft.com/office/drawing/2014/main" id="{D59E803E-0DDF-40CB-88E0-7398F7E87194}"/>
            </a:ext>
          </a:extLst>
        </xdr:cNvPr>
        <xdr:cNvPicPr preferRelativeResize="0"/>
      </xdr:nvPicPr>
      <xdr:blipFill>
        <a:blip xmlns:r="http://schemas.openxmlformats.org/officeDocument/2006/relationships" r:embed="rId3" cstate="print"/>
        <a:stretch>
          <a:fillRect/>
        </a:stretch>
      </xdr:blipFill>
      <xdr:spPr>
        <a:xfrm>
          <a:off x="12374881" y="1101089"/>
          <a:ext cx="390525" cy="314325"/>
        </a:xfrm>
        <a:prstGeom prst="rect">
          <a:avLst/>
        </a:prstGeom>
        <a:noFill/>
      </xdr:spPr>
    </xdr:pic>
    <xdr:clientData fLocksWithSheet="0"/>
  </xdr:oneCellAnchor>
  <xdr:oneCellAnchor>
    <xdr:from>
      <xdr:col>22</xdr:col>
      <xdr:colOff>628651</xdr:colOff>
      <xdr:row>5</xdr:row>
      <xdr:rowOff>100964</xdr:rowOff>
    </xdr:from>
    <xdr:ext cx="390526" cy="356236"/>
    <xdr:pic>
      <xdr:nvPicPr>
        <xdr:cNvPr id="165" name="image6.png">
          <a:extLst>
            <a:ext uri="{FF2B5EF4-FFF2-40B4-BE49-F238E27FC236}">
              <a16:creationId xmlns:a16="http://schemas.microsoft.com/office/drawing/2014/main" id="{EA29995E-B9C2-4E85-9FF9-66C742A3A346}"/>
            </a:ext>
          </a:extLst>
        </xdr:cNvPr>
        <xdr:cNvPicPr preferRelativeResize="0"/>
      </xdr:nvPicPr>
      <xdr:blipFill>
        <a:blip xmlns:r="http://schemas.openxmlformats.org/officeDocument/2006/relationships" r:embed="rId4" cstate="print"/>
        <a:stretch>
          <a:fillRect/>
        </a:stretch>
      </xdr:blipFill>
      <xdr:spPr>
        <a:xfrm>
          <a:off x="15087601" y="1101089"/>
          <a:ext cx="390526" cy="356236"/>
        </a:xfrm>
        <a:prstGeom prst="rect">
          <a:avLst/>
        </a:prstGeom>
        <a:noFill/>
      </xdr:spPr>
    </xdr:pic>
    <xdr:clientData fLocksWithSheet="0"/>
  </xdr:oneCellAnchor>
  <xdr:oneCellAnchor>
    <xdr:from>
      <xdr:col>10</xdr:col>
      <xdr:colOff>20956</xdr:colOff>
      <xdr:row>5</xdr:row>
      <xdr:rowOff>129539</xdr:rowOff>
    </xdr:from>
    <xdr:ext cx="485775" cy="400050"/>
    <xdr:pic>
      <xdr:nvPicPr>
        <xdr:cNvPr id="166" name="image7.png">
          <a:extLst>
            <a:ext uri="{FF2B5EF4-FFF2-40B4-BE49-F238E27FC236}">
              <a16:creationId xmlns:a16="http://schemas.microsoft.com/office/drawing/2014/main" id="{8CE82BB0-C082-4151-B4D4-A0DEF3DBEF6C}"/>
            </a:ext>
          </a:extLst>
        </xdr:cNvPr>
        <xdr:cNvPicPr preferRelativeResize="0"/>
      </xdr:nvPicPr>
      <xdr:blipFill>
        <a:blip xmlns:r="http://schemas.openxmlformats.org/officeDocument/2006/relationships" r:embed="rId5" cstate="print"/>
        <a:stretch>
          <a:fillRect/>
        </a:stretch>
      </xdr:blipFill>
      <xdr:spPr>
        <a:xfrm>
          <a:off x="6593206" y="1129664"/>
          <a:ext cx="485775" cy="400050"/>
        </a:xfrm>
        <a:prstGeom prst="rect">
          <a:avLst/>
        </a:prstGeom>
        <a:noFill/>
      </xdr:spPr>
    </xdr:pic>
    <xdr:clientData fLocksWithSheet="0"/>
  </xdr:oneCellAnchor>
  <xdr:twoCellAnchor>
    <xdr:from>
      <xdr:col>3</xdr:col>
      <xdr:colOff>447676</xdr:colOff>
      <xdr:row>0</xdr:row>
      <xdr:rowOff>180975</xdr:rowOff>
    </xdr:from>
    <xdr:to>
      <xdr:col>14</xdr:col>
      <xdr:colOff>590551</xdr:colOff>
      <xdr:row>4</xdr:row>
      <xdr:rowOff>28575</xdr:rowOff>
    </xdr:to>
    <xdr:sp macro="" textlink="">
      <xdr:nvSpPr>
        <xdr:cNvPr id="6" name="TextBox 5">
          <a:extLst>
            <a:ext uri="{FF2B5EF4-FFF2-40B4-BE49-F238E27FC236}">
              <a16:creationId xmlns:a16="http://schemas.microsoft.com/office/drawing/2014/main" id="{F18E6AB8-E8E8-AEFB-CEC4-4BCDE9662224}"/>
            </a:ext>
          </a:extLst>
        </xdr:cNvPr>
        <xdr:cNvSpPr txBox="1"/>
      </xdr:nvSpPr>
      <xdr:spPr>
        <a:xfrm>
          <a:off x="2419351" y="180975"/>
          <a:ext cx="737235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500">
              <a:solidFill>
                <a:srgbClr val="C00000"/>
              </a:solidFill>
              <a:latin typeface="Arial Black" panose="020B0A04020102020204" pitchFamily="34" charset="0"/>
            </a:rPr>
            <a:t>HR ANALYTICS DASHBOARD</a:t>
          </a:r>
        </a:p>
      </xdr:txBody>
    </xdr:sp>
    <xdr:clientData/>
  </xdr:twoCellAnchor>
  <xdr:oneCellAnchor>
    <xdr:from>
      <xdr:col>2</xdr:col>
      <xdr:colOff>438150</xdr:colOff>
      <xdr:row>1</xdr:row>
      <xdr:rowOff>76200</xdr:rowOff>
    </xdr:from>
    <xdr:ext cx="657225" cy="523875"/>
    <xdr:pic>
      <xdr:nvPicPr>
        <xdr:cNvPr id="7" name="image1.png">
          <a:extLst>
            <a:ext uri="{FF2B5EF4-FFF2-40B4-BE49-F238E27FC236}">
              <a16:creationId xmlns:a16="http://schemas.microsoft.com/office/drawing/2014/main" id="{56CC7F26-A020-4D32-BF37-419D27696779}"/>
            </a:ext>
          </a:extLst>
        </xdr:cNvPr>
        <xdr:cNvPicPr preferRelativeResize="0"/>
      </xdr:nvPicPr>
      <xdr:blipFill>
        <a:blip xmlns:r="http://schemas.openxmlformats.org/officeDocument/2006/relationships" r:embed="rId6" cstate="print"/>
        <a:stretch>
          <a:fillRect/>
        </a:stretch>
      </xdr:blipFill>
      <xdr:spPr>
        <a:xfrm>
          <a:off x="1752600" y="276225"/>
          <a:ext cx="657225" cy="523875"/>
        </a:xfrm>
        <a:prstGeom prst="rect">
          <a:avLst/>
        </a:prstGeom>
        <a:noFill/>
      </xdr:spPr>
    </xdr:pic>
    <xdr:clientData fLocksWithSheet="0"/>
  </xdr:oneCellAnchor>
  <xdr:oneCellAnchor>
    <xdr:from>
      <xdr:col>15</xdr:col>
      <xdr:colOff>171450</xdr:colOff>
      <xdr:row>1</xdr:row>
      <xdr:rowOff>85725</xdr:rowOff>
    </xdr:from>
    <xdr:ext cx="581025" cy="533400"/>
    <xdr:pic>
      <xdr:nvPicPr>
        <xdr:cNvPr id="8" name="image3.png">
          <a:extLst>
            <a:ext uri="{FF2B5EF4-FFF2-40B4-BE49-F238E27FC236}">
              <a16:creationId xmlns:a16="http://schemas.microsoft.com/office/drawing/2014/main" id="{FB45F5C2-ABF8-4730-BE59-CB763AD186A7}"/>
            </a:ext>
          </a:extLst>
        </xdr:cNvPr>
        <xdr:cNvPicPr preferRelativeResize="0"/>
      </xdr:nvPicPr>
      <xdr:blipFill>
        <a:blip xmlns:r="http://schemas.openxmlformats.org/officeDocument/2006/relationships" r:embed="rId7" cstate="print"/>
        <a:stretch>
          <a:fillRect/>
        </a:stretch>
      </xdr:blipFill>
      <xdr:spPr>
        <a:xfrm>
          <a:off x="10029825" y="285750"/>
          <a:ext cx="581025" cy="533400"/>
        </a:xfrm>
        <a:prstGeom prst="rect">
          <a:avLst/>
        </a:prstGeom>
        <a:noFill/>
      </xdr:spPr>
    </xdr:pic>
    <xdr:clientData fLocksWithSheet="0"/>
  </xdr:oneCellAnchor>
  <xdr:twoCellAnchor>
    <xdr:from>
      <xdr:col>16</xdr:col>
      <xdr:colOff>247650</xdr:colOff>
      <xdr:row>0</xdr:row>
      <xdr:rowOff>190500</xdr:rowOff>
    </xdr:from>
    <xdr:to>
      <xdr:col>18</xdr:col>
      <xdr:colOff>495300</xdr:colOff>
      <xdr:row>4</xdr:row>
      <xdr:rowOff>161925</xdr:rowOff>
    </xdr:to>
    <xdr:sp macro="" textlink="">
      <xdr:nvSpPr>
        <xdr:cNvPr id="12" name="TextBox 11">
          <a:extLst>
            <a:ext uri="{FF2B5EF4-FFF2-40B4-BE49-F238E27FC236}">
              <a16:creationId xmlns:a16="http://schemas.microsoft.com/office/drawing/2014/main" id="{691D3F12-FCE6-650C-5E9D-1250814DDF2A}"/>
            </a:ext>
          </a:extLst>
        </xdr:cNvPr>
        <xdr:cNvSpPr txBox="1"/>
      </xdr:nvSpPr>
      <xdr:spPr>
        <a:xfrm>
          <a:off x="10763250" y="190500"/>
          <a:ext cx="1562100"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602928"/>
              </a:solidFill>
              <a:latin typeface="Arial Black" panose="020B0A04020102020204" pitchFamily="34" charset="0"/>
            </a:rPr>
            <a:t>JOB</a:t>
          </a:r>
        </a:p>
        <a:p>
          <a:pPr algn="ctr"/>
          <a:r>
            <a:rPr lang="en-IN" sz="1200">
              <a:solidFill>
                <a:srgbClr val="602928"/>
              </a:solidFill>
              <a:latin typeface="Arial Black" panose="020B0A04020102020204" pitchFamily="34" charset="0"/>
            </a:rPr>
            <a:t>SATISFACTION</a:t>
          </a:r>
          <a:endParaRPr lang="en-IN" sz="1200" baseline="0">
            <a:solidFill>
              <a:srgbClr val="602928"/>
            </a:solidFill>
            <a:latin typeface="Arial Black" panose="020B0A04020102020204" pitchFamily="34" charset="0"/>
          </a:endParaRPr>
        </a:p>
        <a:p>
          <a:pPr algn="ctr"/>
          <a:r>
            <a:rPr lang="en-IN" sz="1200" baseline="0">
              <a:solidFill>
                <a:srgbClr val="602928"/>
              </a:solidFill>
              <a:latin typeface="Arial Black" panose="020B0A04020102020204" pitchFamily="34" charset="0"/>
            </a:rPr>
            <a:t>RATING</a:t>
          </a:r>
          <a:endParaRPr lang="en-IN" sz="1200">
            <a:solidFill>
              <a:srgbClr val="602928"/>
            </a:solidFill>
            <a:latin typeface="Arial Black" panose="020B0A04020102020204" pitchFamily="34" charset="0"/>
          </a:endParaRPr>
        </a:p>
      </xdr:txBody>
    </xdr:sp>
    <xdr:clientData/>
  </xdr:twoCellAnchor>
  <xdr:twoCellAnchor>
    <xdr:from>
      <xdr:col>18</xdr:col>
      <xdr:colOff>123825</xdr:colOff>
      <xdr:row>0</xdr:row>
      <xdr:rowOff>180975</xdr:rowOff>
    </xdr:from>
    <xdr:to>
      <xdr:col>20</xdr:col>
      <xdr:colOff>142875</xdr:colOff>
      <xdr:row>5</xdr:row>
      <xdr:rowOff>76200</xdr:rowOff>
    </xdr:to>
    <xdr:graphicFrame macro="">
      <xdr:nvGraphicFramePr>
        <xdr:cNvPr id="13" name="Chart 12">
          <a:extLst>
            <a:ext uri="{FF2B5EF4-FFF2-40B4-BE49-F238E27FC236}">
              <a16:creationId xmlns:a16="http://schemas.microsoft.com/office/drawing/2014/main" id="{46B0D3A0-73FF-48C8-8A82-FB41073AE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268606</xdr:colOff>
      <xdr:row>13</xdr:row>
      <xdr:rowOff>15239</xdr:rowOff>
    </xdr:from>
    <xdr:to>
      <xdr:col>4</xdr:col>
      <xdr:colOff>394156</xdr:colOff>
      <xdr:row>20</xdr:row>
      <xdr:rowOff>55064</xdr:rowOff>
    </xdr:to>
    <xdr:graphicFrame macro="">
      <xdr:nvGraphicFramePr>
        <xdr:cNvPr id="9" name="Chart 8">
          <a:extLst>
            <a:ext uri="{FF2B5EF4-FFF2-40B4-BE49-F238E27FC236}">
              <a16:creationId xmlns:a16="http://schemas.microsoft.com/office/drawing/2014/main" id="{38E6228E-2DDF-49EA-A53B-C9D85EA2D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440056</xdr:colOff>
      <xdr:row>13</xdr:row>
      <xdr:rowOff>15239</xdr:rowOff>
    </xdr:from>
    <xdr:to>
      <xdr:col>8</xdr:col>
      <xdr:colOff>565606</xdr:colOff>
      <xdr:row>20</xdr:row>
      <xdr:rowOff>55064</xdr:rowOff>
    </xdr:to>
    <xdr:graphicFrame macro="">
      <xdr:nvGraphicFramePr>
        <xdr:cNvPr id="10" name="Chart 9">
          <a:extLst>
            <a:ext uri="{FF2B5EF4-FFF2-40B4-BE49-F238E27FC236}">
              <a16:creationId xmlns:a16="http://schemas.microsoft.com/office/drawing/2014/main" id="{F8425C10-8384-4A57-9671-295E92FC0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428625</xdr:colOff>
      <xdr:row>14</xdr:row>
      <xdr:rowOff>114300</xdr:rowOff>
    </xdr:from>
    <xdr:to>
      <xdr:col>6</xdr:col>
      <xdr:colOff>527400</xdr:colOff>
      <xdr:row>18</xdr:row>
      <xdr:rowOff>70200</xdr:rowOff>
    </xdr:to>
    <xdr:pic>
      <xdr:nvPicPr>
        <xdr:cNvPr id="20" name="Graphic 19" descr="Male profile with solid fill">
          <a:extLst>
            <a:ext uri="{FF2B5EF4-FFF2-40B4-BE49-F238E27FC236}">
              <a16:creationId xmlns:a16="http://schemas.microsoft.com/office/drawing/2014/main" id="{AB44862B-173B-6373-EB3B-B0082983E61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714750" y="3105150"/>
          <a:ext cx="756000" cy="756000"/>
        </a:xfrm>
        <a:prstGeom prst="rect">
          <a:avLst/>
        </a:prstGeom>
      </xdr:spPr>
    </xdr:pic>
    <xdr:clientData/>
  </xdr:twoCellAnchor>
  <xdr:twoCellAnchor editAs="oneCell">
    <xdr:from>
      <xdr:col>4</xdr:col>
      <xdr:colOff>209550</xdr:colOff>
      <xdr:row>14</xdr:row>
      <xdr:rowOff>151350</xdr:rowOff>
    </xdr:from>
    <xdr:to>
      <xdr:col>5</xdr:col>
      <xdr:colOff>272325</xdr:colOff>
      <xdr:row>18</xdr:row>
      <xdr:rowOff>71250</xdr:rowOff>
    </xdr:to>
    <xdr:pic>
      <xdr:nvPicPr>
        <xdr:cNvPr id="22" name="Graphic 21" descr="Female Profile with solid fill">
          <a:extLst>
            <a:ext uri="{FF2B5EF4-FFF2-40B4-BE49-F238E27FC236}">
              <a16:creationId xmlns:a16="http://schemas.microsoft.com/office/drawing/2014/main" id="{E3BFE112-8985-77A7-FF63-CD9F03B35E0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838450" y="3142200"/>
          <a:ext cx="720000" cy="720000"/>
        </a:xfrm>
        <a:prstGeom prst="rect">
          <a:avLst/>
        </a:prstGeom>
      </xdr:spPr>
    </xdr:pic>
    <xdr:clientData/>
  </xdr:twoCellAnchor>
  <xdr:twoCellAnchor>
    <xdr:from>
      <xdr:col>3</xdr:col>
      <xdr:colOff>20956</xdr:colOff>
      <xdr:row>15</xdr:row>
      <xdr:rowOff>148589</xdr:rowOff>
    </xdr:from>
    <xdr:to>
      <xdr:col>3</xdr:col>
      <xdr:colOff>628650</xdr:colOff>
      <xdr:row>18</xdr:row>
      <xdr:rowOff>47625</xdr:rowOff>
    </xdr:to>
    <xdr:sp macro="" textlink="Gender!B9">
      <xdr:nvSpPr>
        <xdr:cNvPr id="23" name="TextBox 1">
          <a:extLst>
            <a:ext uri="{FF2B5EF4-FFF2-40B4-BE49-F238E27FC236}">
              <a16:creationId xmlns:a16="http://schemas.microsoft.com/office/drawing/2014/main" id="{633FF1C3-8485-614F-B9E2-E6B4ED4A3AD1}"/>
            </a:ext>
          </a:extLst>
        </xdr:cNvPr>
        <xdr:cNvSpPr txBox="1"/>
      </xdr:nvSpPr>
      <xdr:spPr>
        <a:xfrm>
          <a:off x="1992631" y="3339464"/>
          <a:ext cx="607694" cy="49911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3B26A06F-18FD-4371-AC21-FABFE6DFA6CA}" type="TxLink">
            <a:rPr lang="en-US" sz="1600" b="0" i="0" u="none" strike="noStrike" kern="1200">
              <a:solidFill>
                <a:srgbClr val="0070C0"/>
              </a:solidFill>
              <a:latin typeface="Arial Black" panose="020B0A04020102020204" pitchFamily="34" charset="0"/>
              <a:ea typeface="Calibri"/>
              <a:cs typeface="Calibri"/>
            </a:rPr>
            <a:pPr/>
            <a:t>588</a:t>
          </a:fld>
          <a:endParaRPr lang="en-IN" sz="1400" kern="1200">
            <a:solidFill>
              <a:srgbClr val="0070C0"/>
            </a:solidFill>
            <a:latin typeface="Arial Black" panose="020B0A04020102020204" pitchFamily="34" charset="0"/>
          </a:endParaRPr>
        </a:p>
      </xdr:txBody>
    </xdr:sp>
    <xdr:clientData/>
  </xdr:twoCellAnchor>
  <xdr:twoCellAnchor>
    <xdr:from>
      <xdr:col>2</xdr:col>
      <xdr:colOff>447674</xdr:colOff>
      <xdr:row>8</xdr:row>
      <xdr:rowOff>180974</xdr:rowOff>
    </xdr:from>
    <xdr:to>
      <xdr:col>7</xdr:col>
      <xdr:colOff>476250</xdr:colOff>
      <xdr:row>10</xdr:row>
      <xdr:rowOff>95248</xdr:rowOff>
    </xdr:to>
    <xdr:sp macro="" textlink="">
      <xdr:nvSpPr>
        <xdr:cNvPr id="2" name="TextBox 1">
          <a:extLst>
            <a:ext uri="{FF2B5EF4-FFF2-40B4-BE49-F238E27FC236}">
              <a16:creationId xmlns:a16="http://schemas.microsoft.com/office/drawing/2014/main" id="{B6764D3B-13B9-4941-4CC6-AC99B2478B48}"/>
            </a:ext>
          </a:extLst>
        </xdr:cNvPr>
        <xdr:cNvSpPr txBox="1"/>
      </xdr:nvSpPr>
      <xdr:spPr>
        <a:xfrm>
          <a:off x="1762124" y="1981199"/>
          <a:ext cx="33147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1E47"/>
              </a:solidFill>
              <a:latin typeface="Arial Black" panose="020B0A04020102020204" pitchFamily="34" charset="0"/>
            </a:rPr>
            <a:t>Total Employees by Gender</a:t>
          </a:r>
        </a:p>
      </xdr:txBody>
    </xdr:sp>
    <xdr:clientData/>
  </xdr:twoCellAnchor>
  <xdr:twoCellAnchor editAs="oneCell">
    <xdr:from>
      <xdr:col>4</xdr:col>
      <xdr:colOff>238125</xdr:colOff>
      <xdr:row>11</xdr:row>
      <xdr:rowOff>47626</xdr:rowOff>
    </xdr:from>
    <xdr:to>
      <xdr:col>7</xdr:col>
      <xdr:colOff>28575</xdr:colOff>
      <xdr:row>14</xdr:row>
      <xdr:rowOff>114300</xdr:rowOff>
    </xdr:to>
    <mc:AlternateContent xmlns:mc="http://schemas.openxmlformats.org/markup-compatibility/2006" xmlns:a14="http://schemas.microsoft.com/office/drawing/2010/main">
      <mc:Choice Requires="a14">
        <xdr:graphicFrame macro="">
          <xdr:nvGraphicFramePr>
            <xdr:cNvPr id="11" name="Gender 3">
              <a:extLst>
                <a:ext uri="{FF2B5EF4-FFF2-40B4-BE49-F238E27FC236}">
                  <a16:creationId xmlns:a16="http://schemas.microsoft.com/office/drawing/2014/main" id="{A661CC62-62B9-4B09-87CD-A62C809EF50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867025" y="2438401"/>
              <a:ext cx="1762125" cy="666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609601</xdr:colOff>
      <xdr:row>10</xdr:row>
      <xdr:rowOff>76200</xdr:rowOff>
    </xdr:from>
    <xdr:to>
      <xdr:col>16</xdr:col>
      <xdr:colOff>361951</xdr:colOff>
      <xdr:row>21</xdr:row>
      <xdr:rowOff>9525</xdr:rowOff>
    </xdr:to>
    <xdr:graphicFrame macro="">
      <xdr:nvGraphicFramePr>
        <xdr:cNvPr id="14" name="Chart 13">
          <a:extLst>
            <a:ext uri="{FF2B5EF4-FFF2-40B4-BE49-F238E27FC236}">
              <a16:creationId xmlns:a16="http://schemas.microsoft.com/office/drawing/2014/main" id="{B8B49E03-27C7-405D-965E-7B5FD9C0A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104774</xdr:colOff>
      <xdr:row>8</xdr:row>
      <xdr:rowOff>180974</xdr:rowOff>
    </xdr:from>
    <xdr:to>
      <xdr:col>14</xdr:col>
      <xdr:colOff>133350</xdr:colOff>
      <xdr:row>10</xdr:row>
      <xdr:rowOff>95248</xdr:rowOff>
    </xdr:to>
    <xdr:sp macro="" textlink="">
      <xdr:nvSpPr>
        <xdr:cNvPr id="16" name="TextBox 15">
          <a:extLst>
            <a:ext uri="{FF2B5EF4-FFF2-40B4-BE49-F238E27FC236}">
              <a16:creationId xmlns:a16="http://schemas.microsoft.com/office/drawing/2014/main" id="{3BCD3427-31C1-45C4-8741-5DCAC142AED6}"/>
            </a:ext>
          </a:extLst>
        </xdr:cNvPr>
        <xdr:cNvSpPr txBox="1"/>
      </xdr:nvSpPr>
      <xdr:spPr>
        <a:xfrm>
          <a:off x="6019799" y="1981199"/>
          <a:ext cx="33147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1E47"/>
              </a:solidFill>
              <a:latin typeface="Arial Black" panose="020B0A04020102020204" pitchFamily="34" charset="0"/>
            </a:rPr>
            <a:t>Education</a:t>
          </a:r>
          <a:r>
            <a:rPr lang="en-IN" sz="1300" baseline="0">
              <a:solidFill>
                <a:srgbClr val="601E47"/>
              </a:solidFill>
              <a:latin typeface="Arial Black" panose="020B0A04020102020204" pitchFamily="34" charset="0"/>
            </a:rPr>
            <a:t> wise Attrition</a:t>
          </a:r>
          <a:endParaRPr lang="en-IN" sz="1300">
            <a:solidFill>
              <a:srgbClr val="601E47"/>
            </a:solidFill>
            <a:latin typeface="Arial Black" panose="020B0A04020102020204" pitchFamily="34" charset="0"/>
          </a:endParaRPr>
        </a:p>
      </xdr:txBody>
    </xdr:sp>
    <xdr:clientData/>
  </xdr:twoCellAnchor>
  <xdr:twoCellAnchor>
    <xdr:from>
      <xdr:col>16</xdr:col>
      <xdr:colOff>554356</xdr:colOff>
      <xdr:row>11</xdr:row>
      <xdr:rowOff>1</xdr:rowOff>
    </xdr:from>
    <xdr:to>
      <xdr:col>23</xdr:col>
      <xdr:colOff>447675</xdr:colOff>
      <xdr:row>21</xdr:row>
      <xdr:rowOff>9526</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02FBAD27-0A88-46E5-8409-AF33798715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039476" y="2369821"/>
              <a:ext cx="4480559" cy="19831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638174</xdr:colOff>
      <xdr:row>8</xdr:row>
      <xdr:rowOff>171449</xdr:rowOff>
    </xdr:from>
    <xdr:to>
      <xdr:col>22</xdr:col>
      <xdr:colOff>9525</xdr:colOff>
      <xdr:row>10</xdr:row>
      <xdr:rowOff>85723</xdr:rowOff>
    </xdr:to>
    <xdr:sp macro="" textlink="">
      <xdr:nvSpPr>
        <xdr:cNvPr id="24" name="TextBox 23">
          <a:extLst>
            <a:ext uri="{FF2B5EF4-FFF2-40B4-BE49-F238E27FC236}">
              <a16:creationId xmlns:a16="http://schemas.microsoft.com/office/drawing/2014/main" id="{D4D84080-6513-40FA-9646-FB905944BE51}"/>
            </a:ext>
          </a:extLst>
        </xdr:cNvPr>
        <xdr:cNvSpPr txBox="1"/>
      </xdr:nvSpPr>
      <xdr:spPr>
        <a:xfrm>
          <a:off x="11153774" y="1971674"/>
          <a:ext cx="33147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1E47"/>
              </a:solidFill>
              <a:latin typeface="Arial Black" panose="020B0A04020102020204" pitchFamily="34" charset="0"/>
            </a:rPr>
            <a:t>Attrition</a:t>
          </a:r>
          <a:r>
            <a:rPr lang="en-IN" sz="1300" baseline="0">
              <a:solidFill>
                <a:srgbClr val="601E47"/>
              </a:solidFill>
              <a:latin typeface="Arial Black" panose="020B0A04020102020204" pitchFamily="34" charset="0"/>
            </a:rPr>
            <a:t> by Job Role</a:t>
          </a:r>
          <a:endParaRPr lang="en-IN" sz="1300">
            <a:solidFill>
              <a:srgbClr val="601E47"/>
            </a:solidFill>
            <a:latin typeface="Arial Black" panose="020B0A04020102020204" pitchFamily="34" charset="0"/>
          </a:endParaRPr>
        </a:p>
      </xdr:txBody>
    </xdr:sp>
    <xdr:clientData/>
  </xdr:twoCellAnchor>
  <xdr:twoCellAnchor>
    <xdr:from>
      <xdr:col>2</xdr:col>
      <xdr:colOff>333376</xdr:colOff>
      <xdr:row>23</xdr:row>
      <xdr:rowOff>95249</xdr:rowOff>
    </xdr:from>
    <xdr:to>
      <xdr:col>8</xdr:col>
      <xdr:colOff>428626</xdr:colOff>
      <xdr:row>33</xdr:row>
      <xdr:rowOff>180974</xdr:rowOff>
    </xdr:to>
    <xdr:graphicFrame macro="">
      <xdr:nvGraphicFramePr>
        <xdr:cNvPr id="25" name="Chart 24">
          <a:extLst>
            <a:ext uri="{FF2B5EF4-FFF2-40B4-BE49-F238E27FC236}">
              <a16:creationId xmlns:a16="http://schemas.microsoft.com/office/drawing/2014/main" id="{A5372384-2941-43F9-80B8-20EDDB571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459106</xdr:colOff>
      <xdr:row>21</xdr:row>
      <xdr:rowOff>91439</xdr:rowOff>
    </xdr:from>
    <xdr:to>
      <xdr:col>7</xdr:col>
      <xdr:colOff>487682</xdr:colOff>
      <xdr:row>23</xdr:row>
      <xdr:rowOff>15238</xdr:rowOff>
    </xdr:to>
    <xdr:sp macro="" textlink="">
      <xdr:nvSpPr>
        <xdr:cNvPr id="26" name="TextBox 25">
          <a:extLst>
            <a:ext uri="{FF2B5EF4-FFF2-40B4-BE49-F238E27FC236}">
              <a16:creationId xmlns:a16="http://schemas.microsoft.com/office/drawing/2014/main" id="{D0127CB3-BD43-4FE4-83A4-A53D31DA534B}"/>
            </a:ext>
          </a:extLst>
        </xdr:cNvPr>
        <xdr:cNvSpPr txBox="1"/>
      </xdr:nvSpPr>
      <xdr:spPr>
        <a:xfrm>
          <a:off x="1773556" y="4472939"/>
          <a:ext cx="33147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1E47"/>
              </a:solidFill>
              <a:latin typeface="Arial Black" panose="020B0A04020102020204" pitchFamily="34" charset="0"/>
            </a:rPr>
            <a:t>Department wise</a:t>
          </a:r>
          <a:r>
            <a:rPr lang="en-IN" sz="1300" baseline="0">
              <a:solidFill>
                <a:srgbClr val="601E47"/>
              </a:solidFill>
              <a:latin typeface="Arial Black" panose="020B0A04020102020204" pitchFamily="34" charset="0"/>
            </a:rPr>
            <a:t> Attrition</a:t>
          </a:r>
          <a:endParaRPr lang="en-IN" sz="1300">
            <a:solidFill>
              <a:srgbClr val="601E47"/>
            </a:solidFill>
            <a:latin typeface="Arial Black" panose="020B0A04020102020204" pitchFamily="34" charset="0"/>
          </a:endParaRPr>
        </a:p>
      </xdr:txBody>
    </xdr:sp>
    <xdr:clientData/>
  </xdr:twoCellAnchor>
  <xdr:twoCellAnchor>
    <xdr:from>
      <xdr:col>8</xdr:col>
      <xdr:colOff>590549</xdr:colOff>
      <xdr:row>23</xdr:row>
      <xdr:rowOff>85724</xdr:rowOff>
    </xdr:from>
    <xdr:to>
      <xdr:col>14</xdr:col>
      <xdr:colOff>333375</xdr:colOff>
      <xdr:row>33</xdr:row>
      <xdr:rowOff>177163</xdr:rowOff>
    </xdr:to>
    <xdr:graphicFrame macro="">
      <xdr:nvGraphicFramePr>
        <xdr:cNvPr id="27" name="Chart 26">
          <a:extLst>
            <a:ext uri="{FF2B5EF4-FFF2-40B4-BE49-F238E27FC236}">
              <a16:creationId xmlns:a16="http://schemas.microsoft.com/office/drawing/2014/main" id="{82D91CA1-016A-42BF-A317-9ED022A03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649606</xdr:colOff>
      <xdr:row>21</xdr:row>
      <xdr:rowOff>100964</xdr:rowOff>
    </xdr:from>
    <xdr:to>
      <xdr:col>14</xdr:col>
      <xdr:colOff>20957</xdr:colOff>
      <xdr:row>23</xdr:row>
      <xdr:rowOff>24763</xdr:rowOff>
    </xdr:to>
    <xdr:sp macro="" textlink="">
      <xdr:nvSpPr>
        <xdr:cNvPr id="28" name="TextBox 27">
          <a:extLst>
            <a:ext uri="{FF2B5EF4-FFF2-40B4-BE49-F238E27FC236}">
              <a16:creationId xmlns:a16="http://schemas.microsoft.com/office/drawing/2014/main" id="{384F0E7A-3BA9-4473-A22D-B3FFB5364B02}"/>
            </a:ext>
          </a:extLst>
        </xdr:cNvPr>
        <xdr:cNvSpPr txBox="1"/>
      </xdr:nvSpPr>
      <xdr:spPr>
        <a:xfrm>
          <a:off x="5907406" y="4482464"/>
          <a:ext cx="33147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aseline="0">
              <a:solidFill>
                <a:srgbClr val="601E47"/>
              </a:solidFill>
              <a:latin typeface="Arial Black" panose="020B0A04020102020204" pitchFamily="34" charset="0"/>
            </a:rPr>
            <a:t>Attrition by Age Group</a:t>
          </a:r>
          <a:endParaRPr lang="en-IN" sz="1300">
            <a:solidFill>
              <a:srgbClr val="601E47"/>
            </a:solidFill>
            <a:latin typeface="Arial Black" panose="020B0A04020102020204" pitchFamily="34" charset="0"/>
          </a:endParaRPr>
        </a:p>
      </xdr:txBody>
    </xdr:sp>
    <xdr:clientData/>
  </xdr:twoCellAnchor>
  <xdr:twoCellAnchor>
    <xdr:from>
      <xdr:col>14</xdr:col>
      <xdr:colOff>514350</xdr:colOff>
      <xdr:row>23</xdr:row>
      <xdr:rowOff>85724</xdr:rowOff>
    </xdr:from>
    <xdr:to>
      <xdr:col>19</xdr:col>
      <xdr:colOff>161925</xdr:colOff>
      <xdr:row>33</xdr:row>
      <xdr:rowOff>171450</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61B681C6-7A0C-44FD-AED5-679A54A72D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9688830" y="4810124"/>
              <a:ext cx="2924175" cy="19907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611506</xdr:colOff>
      <xdr:row>21</xdr:row>
      <xdr:rowOff>91439</xdr:rowOff>
    </xdr:from>
    <xdr:to>
      <xdr:col>19</xdr:col>
      <xdr:colOff>640082</xdr:colOff>
      <xdr:row>23</xdr:row>
      <xdr:rowOff>15238</xdr:rowOff>
    </xdr:to>
    <xdr:sp macro="" textlink="">
      <xdr:nvSpPr>
        <xdr:cNvPr id="32" name="TextBox 31">
          <a:extLst>
            <a:ext uri="{FF2B5EF4-FFF2-40B4-BE49-F238E27FC236}">
              <a16:creationId xmlns:a16="http://schemas.microsoft.com/office/drawing/2014/main" id="{72413956-BE1B-4DC2-B5B9-9FA7BD84A735}"/>
            </a:ext>
          </a:extLst>
        </xdr:cNvPr>
        <xdr:cNvSpPr txBox="1"/>
      </xdr:nvSpPr>
      <xdr:spPr>
        <a:xfrm>
          <a:off x="9812656" y="4472939"/>
          <a:ext cx="33147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aseline="0">
              <a:solidFill>
                <a:srgbClr val="601E47"/>
              </a:solidFill>
              <a:latin typeface="Arial Black" panose="020B0A04020102020204" pitchFamily="34" charset="0"/>
            </a:rPr>
            <a:t>Attrition by Marital Status</a:t>
          </a:r>
          <a:endParaRPr lang="en-IN" sz="1300">
            <a:solidFill>
              <a:srgbClr val="601E47"/>
            </a:solidFill>
            <a:latin typeface="Arial Black" panose="020B0A04020102020204" pitchFamily="34" charset="0"/>
          </a:endParaRPr>
        </a:p>
      </xdr:txBody>
    </xdr:sp>
    <xdr:clientData/>
  </xdr:twoCellAnchor>
  <xdr:twoCellAnchor editAs="oneCell">
    <xdr:from>
      <xdr:col>19</xdr:col>
      <xdr:colOff>335280</xdr:colOff>
      <xdr:row>24</xdr:row>
      <xdr:rowOff>91439</xdr:rowOff>
    </xdr:from>
    <xdr:to>
      <xdr:col>22</xdr:col>
      <xdr:colOff>9525</xdr:colOff>
      <xdr:row>33</xdr:row>
      <xdr:rowOff>171450</xdr:rowOff>
    </xdr:to>
    <mc:AlternateContent xmlns:mc="http://schemas.openxmlformats.org/markup-compatibility/2006" xmlns:a14="http://schemas.microsoft.com/office/drawing/2010/main">
      <mc:Choice Requires="a14">
        <xdr:graphicFrame macro="">
          <xdr:nvGraphicFramePr>
            <xdr:cNvPr id="33" name="Education Field 3">
              <a:extLst>
                <a:ext uri="{FF2B5EF4-FFF2-40B4-BE49-F238E27FC236}">
                  <a16:creationId xmlns:a16="http://schemas.microsoft.com/office/drawing/2014/main" id="{6EEC2378-2B1A-4173-84DB-B56A17091848}"/>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2822555" y="5044439"/>
              <a:ext cx="1645920" cy="1794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20955</xdr:colOff>
      <xdr:row>24</xdr:row>
      <xdr:rowOff>81914</xdr:rowOff>
    </xdr:from>
    <xdr:to>
      <xdr:col>23</xdr:col>
      <xdr:colOff>466725</xdr:colOff>
      <xdr:row>31</xdr:row>
      <xdr:rowOff>76199</xdr:rowOff>
    </xdr:to>
    <mc:AlternateContent xmlns:mc="http://schemas.openxmlformats.org/markup-compatibility/2006" xmlns:a14="http://schemas.microsoft.com/office/drawing/2010/main">
      <mc:Choice Requires="a14">
        <xdr:graphicFrame macro="">
          <xdr:nvGraphicFramePr>
            <xdr:cNvPr id="34" name="Department 1">
              <a:extLst>
                <a:ext uri="{FF2B5EF4-FFF2-40B4-BE49-F238E27FC236}">
                  <a16:creationId xmlns:a16="http://schemas.microsoft.com/office/drawing/2014/main" id="{579B1C7B-74D0-48A3-8F5C-603A8FEE7A2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479905" y="5034914"/>
              <a:ext cx="1102995" cy="1327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428625</xdr:colOff>
      <xdr:row>23</xdr:row>
      <xdr:rowOff>19050</xdr:rowOff>
    </xdr:from>
    <xdr:to>
      <xdr:col>21</xdr:col>
      <xdr:colOff>533400</xdr:colOff>
      <xdr:row>24</xdr:row>
      <xdr:rowOff>76200</xdr:rowOff>
    </xdr:to>
    <xdr:sp macro="" textlink="">
      <xdr:nvSpPr>
        <xdr:cNvPr id="21" name="TextBox 20">
          <a:extLst>
            <a:ext uri="{FF2B5EF4-FFF2-40B4-BE49-F238E27FC236}">
              <a16:creationId xmlns:a16="http://schemas.microsoft.com/office/drawing/2014/main" id="{3A8602F1-7967-8718-159C-11ECDACB68A8}"/>
            </a:ext>
          </a:extLst>
        </xdr:cNvPr>
        <xdr:cNvSpPr txBox="1"/>
      </xdr:nvSpPr>
      <xdr:spPr>
        <a:xfrm>
          <a:off x="12915900" y="4781550"/>
          <a:ext cx="14192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Education</a:t>
          </a:r>
          <a:r>
            <a:rPr lang="en-IN" sz="1100"/>
            <a:t> </a:t>
          </a:r>
          <a:r>
            <a:rPr lang="en-IN" sz="1100" b="1"/>
            <a:t>Field</a:t>
          </a:r>
        </a:p>
      </xdr:txBody>
    </xdr:sp>
    <xdr:clientData/>
  </xdr:twoCellAnchor>
  <xdr:twoCellAnchor>
    <xdr:from>
      <xdr:col>22</xdr:col>
      <xdr:colOff>47625</xdr:colOff>
      <xdr:row>23</xdr:row>
      <xdr:rowOff>38101</xdr:rowOff>
    </xdr:from>
    <xdr:to>
      <xdr:col>23</xdr:col>
      <xdr:colOff>419099</xdr:colOff>
      <xdr:row>24</xdr:row>
      <xdr:rowOff>66675</xdr:rowOff>
    </xdr:to>
    <xdr:sp macro="" textlink="">
      <xdr:nvSpPr>
        <xdr:cNvPr id="35" name="TextBox 34">
          <a:extLst>
            <a:ext uri="{FF2B5EF4-FFF2-40B4-BE49-F238E27FC236}">
              <a16:creationId xmlns:a16="http://schemas.microsoft.com/office/drawing/2014/main" id="{47186B99-3FC9-FF7C-70F7-51F1CCDE49CC}"/>
            </a:ext>
          </a:extLst>
        </xdr:cNvPr>
        <xdr:cNvSpPr txBox="1"/>
      </xdr:nvSpPr>
      <xdr:spPr>
        <a:xfrm>
          <a:off x="14506575" y="4800601"/>
          <a:ext cx="1028699"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Department</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0.33571</cdr:x>
      <cdr:y>0.32353</cdr:y>
    </cdr:from>
    <cdr:to>
      <cdr:x>0.7</cdr:x>
      <cdr:y>0.7549</cdr:y>
    </cdr:to>
    <cdr:sp macro="" textlink="'Average of job satisfaction'!$B$6">
      <cdr:nvSpPr>
        <cdr:cNvPr id="2" name="TextBox 1">
          <a:extLst xmlns:a="http://schemas.openxmlformats.org/drawingml/2006/main">
            <a:ext uri="{FF2B5EF4-FFF2-40B4-BE49-F238E27FC236}">
              <a16:creationId xmlns:a16="http://schemas.microsoft.com/office/drawing/2014/main" id="{1BFC4F0F-3DFA-0A4D-9A74-9AA56D9D8AAD}"/>
            </a:ext>
          </a:extLst>
        </cdr:cNvPr>
        <cdr:cNvSpPr txBox="1"/>
      </cdr:nvSpPr>
      <cdr:spPr>
        <a:xfrm xmlns:a="http://schemas.openxmlformats.org/drawingml/2006/main">
          <a:off x="447674" y="314325"/>
          <a:ext cx="485775" cy="419100"/>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fld id="{2C781133-0092-4925-B495-1DE5258D5B02}" type="TxLink">
            <a:rPr lang="en-US" sz="1200" b="0" i="0" u="none" strike="noStrike" kern="1200">
              <a:solidFill>
                <a:srgbClr val="FF0000"/>
              </a:solidFill>
              <a:latin typeface="Arial Black" panose="020B0A04020102020204" pitchFamily="34" charset="0"/>
              <a:ea typeface="Calibri"/>
              <a:cs typeface="Calibri"/>
            </a:rPr>
            <a:pPr/>
            <a:t>2.6</a:t>
          </a:fld>
          <a:endParaRPr lang="en-IN" sz="1100" kern="1200">
            <a:solidFill>
              <a:srgbClr val="FF0000"/>
            </a:solidFill>
            <a:latin typeface="Arial Black" panose="020B0A040201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0.26326</cdr:x>
      <cdr:y>0.33999</cdr:y>
    </cdr:from>
    <cdr:to>
      <cdr:x>0.74612</cdr:x>
      <cdr:y>0.71702</cdr:y>
    </cdr:to>
    <cdr:sp macro="" textlink="Gender!$B$10">
      <cdr:nvSpPr>
        <cdr:cNvPr id="2" name="TextBox 1">
          <a:extLst xmlns:a="http://schemas.openxmlformats.org/drawingml/2006/main">
            <a:ext uri="{FF2B5EF4-FFF2-40B4-BE49-F238E27FC236}">
              <a16:creationId xmlns:a16="http://schemas.microsoft.com/office/drawing/2014/main" id="{633FF1C3-8485-614F-B9E2-E6B4ED4A3AD1}"/>
            </a:ext>
          </a:extLst>
        </cdr:cNvPr>
        <cdr:cNvSpPr txBox="1"/>
      </cdr:nvSpPr>
      <cdr:spPr>
        <a:xfrm xmlns:a="http://schemas.openxmlformats.org/drawingml/2006/main">
          <a:off x="379095" y="489586"/>
          <a:ext cx="695324" cy="542925"/>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A5778AF5-12EA-4646-B8AB-F1428CE9FD58}" type="TxLink">
            <a:rPr lang="en-US" sz="1800" b="0" i="0" u="none" strike="noStrike" kern="1200">
              <a:solidFill>
                <a:srgbClr val="0070C0"/>
              </a:solidFill>
              <a:latin typeface="Arial Black" panose="020B0A04020102020204" pitchFamily="34" charset="0"/>
              <a:ea typeface="Calibri"/>
              <a:cs typeface="Calibri"/>
            </a:rPr>
            <a:pPr/>
            <a:t>882</a:t>
          </a:fld>
          <a:endParaRPr lang="en-IN" sz="2000" kern="1200">
            <a:solidFill>
              <a:srgbClr val="0070C0"/>
            </a:solidFill>
            <a:latin typeface="Arial Black" panose="020B0A040201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6</xdr:col>
      <xdr:colOff>609600</xdr:colOff>
      <xdr:row>2</xdr:row>
      <xdr:rowOff>99061</xdr:rowOff>
    </xdr:from>
    <xdr:to>
      <xdr:col>9</xdr:col>
      <xdr:colOff>426720</xdr:colOff>
      <xdr:row>8</xdr:row>
      <xdr:rowOff>160021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F5823CE5-7CAD-3EDF-DD48-8B32496DFD0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64780" y="49530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3</xdr:row>
      <xdr:rowOff>38100</xdr:rowOff>
    </xdr:from>
    <xdr:to>
      <xdr:col>7</xdr:col>
      <xdr:colOff>179070</xdr:colOff>
      <xdr:row>11</xdr:row>
      <xdr:rowOff>133350</xdr:rowOff>
    </xdr:to>
    <xdr:graphicFrame macro="">
      <xdr:nvGraphicFramePr>
        <xdr:cNvPr id="2" name="Chart 1">
          <a:extLst>
            <a:ext uri="{FF2B5EF4-FFF2-40B4-BE49-F238E27FC236}">
              <a16:creationId xmlns:a16="http://schemas.microsoft.com/office/drawing/2014/main" id="{BBF4FA05-DAD5-D067-DEC2-B76229892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243840</xdr:colOff>
      <xdr:row>0</xdr:row>
      <xdr:rowOff>167641</xdr:rowOff>
    </xdr:from>
    <xdr:to>
      <xdr:col>10</xdr:col>
      <xdr:colOff>60960</xdr:colOff>
      <xdr:row>5</xdr:row>
      <xdr:rowOff>152401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9163A107-B39E-A18F-9305-F0BEC43F898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73140" y="167641"/>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491490</xdr:colOff>
      <xdr:row>14</xdr:row>
      <xdr:rowOff>7620</xdr:rowOff>
    </xdr:from>
    <xdr:to>
      <xdr:col>14</xdr:col>
      <xdr:colOff>487680</xdr:colOff>
      <xdr:row>18</xdr:row>
      <xdr:rowOff>0</xdr:rowOff>
    </xdr:to>
    <xdr:graphicFrame macro="">
      <xdr:nvGraphicFramePr>
        <xdr:cNvPr id="4" name="Chart 3">
          <a:extLst>
            <a:ext uri="{FF2B5EF4-FFF2-40B4-BE49-F238E27FC236}">
              <a16:creationId xmlns:a16="http://schemas.microsoft.com/office/drawing/2014/main" id="{42C205F8-47FE-D12A-5C6D-B6D90599D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548640</xdr:colOff>
      <xdr:row>13</xdr:row>
      <xdr:rowOff>137160</xdr:rowOff>
    </xdr:from>
    <xdr:to>
      <xdr:col>4</xdr:col>
      <xdr:colOff>365760</xdr:colOff>
      <xdr:row>27</xdr:row>
      <xdr:rowOff>59055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E0CAD4B2-A3E4-739F-8696-AB8BD09AA8F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2354580" y="27127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182880</xdr:colOff>
      <xdr:row>6</xdr:row>
      <xdr:rowOff>175260</xdr:rowOff>
    </xdr:from>
    <xdr:to>
      <xdr:col>7</xdr:col>
      <xdr:colOff>0</xdr:colOff>
      <xdr:row>20</xdr:row>
      <xdr:rowOff>97155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47ACFD8F-B698-04D2-7AC9-D2D362305575}"/>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198620" y="13639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403860</xdr:colOff>
      <xdr:row>5</xdr:row>
      <xdr:rowOff>45720</xdr:rowOff>
    </xdr:from>
    <xdr:to>
      <xdr:col>11</xdr:col>
      <xdr:colOff>220980</xdr:colOff>
      <xdr:row>18</xdr:row>
      <xdr:rowOff>165735</xdr:rowOff>
    </xdr:to>
    <mc:AlternateContent xmlns:mc="http://schemas.openxmlformats.org/markup-compatibility/2006" xmlns:a14="http://schemas.microsoft.com/office/drawing/2010/main">
      <mc:Choice Requires="a14">
        <xdr:graphicFrame macro="">
          <xdr:nvGraphicFramePr>
            <xdr:cNvPr id="5" name="Gender 2">
              <a:extLst>
                <a:ext uri="{FF2B5EF4-FFF2-40B4-BE49-F238E27FC236}">
                  <a16:creationId xmlns:a16="http://schemas.microsoft.com/office/drawing/2014/main" id="{D18FFB04-CEFB-5465-5638-E831299B325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101840" y="10363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14</xdr:row>
      <xdr:rowOff>45720</xdr:rowOff>
    </xdr:from>
    <xdr:to>
      <xdr:col>2</xdr:col>
      <xdr:colOff>468630</xdr:colOff>
      <xdr:row>22</xdr:row>
      <xdr:rowOff>34290</xdr:rowOff>
    </xdr:to>
    <xdr:graphicFrame macro="">
      <xdr:nvGraphicFramePr>
        <xdr:cNvPr id="6" name="Chart 5">
          <a:extLst>
            <a:ext uri="{FF2B5EF4-FFF2-40B4-BE49-F238E27FC236}">
              <a16:creationId xmlns:a16="http://schemas.microsoft.com/office/drawing/2014/main" id="{A8D520E1-C67D-6C5F-F4B3-53647C89C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163830</xdr:colOff>
      <xdr:row>7</xdr:row>
      <xdr:rowOff>72390</xdr:rowOff>
    </xdr:from>
    <xdr:to>
      <xdr:col>8</xdr:col>
      <xdr:colOff>533400</xdr:colOff>
      <xdr:row>20</xdr:row>
      <xdr:rowOff>76200</xdr:rowOff>
    </xdr:to>
    <xdr:graphicFrame macro="">
      <xdr:nvGraphicFramePr>
        <xdr:cNvPr id="2" name="Chart 1">
          <a:extLst>
            <a:ext uri="{FF2B5EF4-FFF2-40B4-BE49-F238E27FC236}">
              <a16:creationId xmlns:a16="http://schemas.microsoft.com/office/drawing/2014/main" id="{A6787E5B-C68B-864A-C1BA-2A2D19E98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34290</xdr:colOff>
      <xdr:row>4</xdr:row>
      <xdr:rowOff>118110</xdr:rowOff>
    </xdr:from>
    <xdr:to>
      <xdr:col>13</xdr:col>
      <xdr:colOff>582930</xdr:colOff>
      <xdr:row>18</xdr:row>
      <xdr:rowOff>87630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57A4976-93EC-12DB-2EFE-1DBF5354DB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004810" y="9105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445770</xdr:colOff>
      <xdr:row>7</xdr:row>
      <xdr:rowOff>72390</xdr:rowOff>
    </xdr:from>
    <xdr:to>
      <xdr:col>9</xdr:col>
      <xdr:colOff>323850</xdr:colOff>
      <xdr:row>21</xdr:row>
      <xdr:rowOff>41910</xdr:rowOff>
    </xdr:to>
    <xdr:graphicFrame macro="">
      <xdr:nvGraphicFramePr>
        <xdr:cNvPr id="2" name="Chart 1">
          <a:extLst>
            <a:ext uri="{FF2B5EF4-FFF2-40B4-BE49-F238E27FC236}">
              <a16:creationId xmlns:a16="http://schemas.microsoft.com/office/drawing/2014/main" id="{CAC70011-5E32-7AD5-B3AC-9DB2CB2A8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255270</xdr:colOff>
      <xdr:row>7</xdr:row>
      <xdr:rowOff>72390</xdr:rowOff>
    </xdr:from>
    <xdr:to>
      <xdr:col>9</xdr:col>
      <xdr:colOff>133350</xdr:colOff>
      <xdr:row>21</xdr:row>
      <xdr:rowOff>41910</xdr:rowOff>
    </xdr:to>
    <xdr:graphicFrame macro="">
      <xdr:nvGraphicFramePr>
        <xdr:cNvPr id="3" name="Chart 2">
          <a:extLst>
            <a:ext uri="{FF2B5EF4-FFF2-40B4-BE49-F238E27FC236}">
              <a16:creationId xmlns:a16="http://schemas.microsoft.com/office/drawing/2014/main" id="{019B29B6-0781-9805-DEC4-090CC824F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601980</xdr:colOff>
      <xdr:row>6</xdr:row>
      <xdr:rowOff>7620</xdr:rowOff>
    </xdr:from>
    <xdr:to>
      <xdr:col>17</xdr:col>
      <xdr:colOff>419100</xdr:colOff>
      <xdr:row>19</xdr:row>
      <xdr:rowOff>127635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C2D0A044-C0A5-0DE5-27B1-24E5755DAF4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323320" y="11963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251460</xdr:colOff>
      <xdr:row>5</xdr:row>
      <xdr:rowOff>167640</xdr:rowOff>
    </xdr:from>
    <xdr:to>
      <xdr:col>14</xdr:col>
      <xdr:colOff>198120</xdr:colOff>
      <xdr:row>16</xdr:row>
      <xdr:rowOff>45720</xdr:rowOff>
    </xdr:to>
    <mc:AlternateContent xmlns:mc="http://schemas.openxmlformats.org/markup-compatibility/2006" xmlns:a14="http://schemas.microsoft.com/office/drawing/2010/main">
      <mc:Choice Requires="a14">
        <xdr:graphicFrame macro="">
          <xdr:nvGraphicFramePr>
            <xdr:cNvPr id="5" name="Education Field 2">
              <a:extLst>
                <a:ext uri="{FF2B5EF4-FFF2-40B4-BE49-F238E27FC236}">
                  <a16:creationId xmlns:a16="http://schemas.microsoft.com/office/drawing/2014/main" id="{4650F79B-6D86-7406-9DB4-FBB46412592C}"/>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961120" y="1158240"/>
              <a:ext cx="195834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5</xdr:col>
      <xdr:colOff>392430</xdr:colOff>
      <xdr:row>7</xdr:row>
      <xdr:rowOff>72390</xdr:rowOff>
    </xdr:from>
    <xdr:to>
      <xdr:col>12</xdr:col>
      <xdr:colOff>270510</xdr:colOff>
      <xdr:row>21</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D672E26-81DB-A9AD-7749-CF6D3A3CFD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4592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835115856484" createdVersion="8" refreshedVersion="8" minRefreshableVersion="3" recordCount="1470" xr:uid="{07117749-2F17-4060-B280-D9237C849960}">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79428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3C030D-9F4F-4931-9123-80D6FA487472}"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formats count="7">
    <format dxfId="168">
      <pivotArea dataOnly="0" outline="0" axis="axisValues" fieldPosition="0"/>
    </format>
    <format dxfId="167">
      <pivotArea outline="0" collapsedLevelsAreSubtotals="1" fieldPosition="0">
        <references count="1">
          <reference field="4294967294" count="1" selected="0">
            <x v="0"/>
          </reference>
        </references>
      </pivotArea>
    </format>
    <format dxfId="166">
      <pivotArea outline="0" collapsedLevelsAreSubtotals="1" fieldPosition="0">
        <references count="1">
          <reference field="4294967294" count="1" selected="0">
            <x v="1"/>
          </reference>
        </references>
      </pivotArea>
    </format>
    <format dxfId="165">
      <pivotArea outline="0" collapsedLevelsAreSubtotals="1" fieldPosition="0">
        <references count="1">
          <reference field="4294967294" count="1" selected="0">
            <x v="2"/>
          </reference>
        </references>
      </pivotArea>
    </format>
    <format dxfId="164">
      <pivotArea dataOnly="0" labelOnly="1" outline="0" fieldPosition="0">
        <references count="1">
          <reference field="4294967294" count="1">
            <x v="0"/>
          </reference>
        </references>
      </pivotArea>
    </format>
    <format dxfId="163">
      <pivotArea dataOnly="0" labelOnly="1" outline="0" fieldPosition="0">
        <references count="1">
          <reference field="4294967294" count="1">
            <x v="1"/>
          </reference>
        </references>
      </pivotArea>
    </format>
    <format dxfId="162">
      <pivotArea dataOnly="0" labelOnly="1" outline="0" fieldPosition="0">
        <references count="1">
          <reference field="4294967294" count="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E8C456-5451-4199-805A-92BCE06D4027}"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F6FDAD-8365-475D-802A-1A1FCFBD0816}"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A7E9AF-A2D5-412F-8CC9-096E20F4ED49}"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79BBE5-C2CA-446E-A4AB-195324D626BC}"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233813-4030-4188-88A7-B8EDF9C1AF54}" name="Department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D7EAAA-8FB1-4E52-9172-1AF2443CF70E}" name="Attrition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3" format="6">
      <pivotArea type="data" outline="0" fieldPosition="0">
        <references count="2">
          <reference field="4294967294" count="1" selected="0">
            <x v="0"/>
          </reference>
          <reference field="2" count="1" selected="0">
            <x v="2"/>
          </reference>
        </references>
      </pivotArea>
    </chartFormat>
    <chartFormat chart="3" format="7">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A001B7-643A-4012-8D46-67D6FECE9E53}" name=" Attrition by 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AC93D0-3591-42C4-B12F-57A469946C29}" sourceName="Gender">
  <pivotTables>
    <pivotTable tabId="11" name="Gender"/>
    <pivotTable tabId="15" name="Attrition by Age"/>
    <pivotTable tabId="13" name="Attrition by Job"/>
    <pivotTable tabId="8" name="RATING"/>
    <pivotTable tabId="14" name="Department by Attrition"/>
    <pivotTable tabId="12" name="Education by attrition"/>
    <pivotTable tabId="7" name="KPI"/>
    <pivotTable tabId="17" name=" Attrition by Marital Status"/>
  </pivotTables>
  <data>
    <tabular pivotCacheId="11794285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8651405-8B92-4066-B7C8-972DECE04204}" sourceName="Department">
  <pivotTables>
    <pivotTable tabId="15" name="Attrition by Age"/>
    <pivotTable tabId="13" name="Attrition by Job"/>
    <pivotTable tabId="8" name="RATING"/>
    <pivotTable tabId="14" name="Department by Attrition"/>
    <pivotTable tabId="12" name="Education by attrition"/>
    <pivotTable tabId="11" name="Gender"/>
    <pivotTable tabId="7" name="KPI"/>
    <pivotTable tabId="17" name=" Attrition by Marital Status"/>
  </pivotTables>
  <data>
    <tabular pivotCacheId="117942854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45BC2907-0561-4900-963A-446C53C1ACE8}" sourceName="Education Field">
  <pivotTables>
    <pivotTable tabId="15" name="Attrition by Age"/>
    <pivotTable tabId="13" name="Attrition by Job"/>
    <pivotTable tabId="8" name="RATING"/>
    <pivotTable tabId="14" name="Department by Attrition"/>
    <pivotTable tabId="12" name="Education by attrition"/>
    <pivotTable tabId="11" name="Gender"/>
    <pivotTable tabId="7" name="KPI"/>
    <pivotTable tabId="17" name=" Attrition by Marital Status"/>
  </pivotTables>
  <data>
    <tabular pivotCacheId="1179428540">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45A7CF2E-545F-438B-9201-A962921E7CAA}" cache="Slicer_Gender2" caption="Gender" columnCount="2" style="Slicer" rowHeight="260350"/>
  <slicer name="Department 1" xr10:uid="{4F9D7F59-1121-4DAB-BC5C-573A15B781A8}" cache="Slicer_Department" style="Slicer" rowHeight="260350"/>
  <slicer name="Education Field 3" xr10:uid="{7953E9F1-0380-4B16-80B3-706E611A1FC5}" cache="Slicer_Education_Field2" style="Slic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E13B50E-2A04-422F-9BB6-73801FD307D5}" cache="Slicer_Gender2"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CEB5B2D-5016-4EF8-B9F1-B2C1F5AF1B0F}" cache="Slicer_Gender2" caption="Gender" rowHeight="260350"/>
  <slicer name="Education Field" xr10:uid="{829C38CE-9A90-4E1C-9CED-A8AA9395CD5D}"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0979601-D87E-405A-AF1C-8FA260F23CE9}" cache="Slicer_Gender2" caption="Gender" rowHeight="260350"/>
  <slicer name="Education Field 1" xr10:uid="{1ECD6E13-07FA-4A25-8E29-DB0AC481DC27}"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C9BA52C-8690-487B-A36F-4ECEA5D871DA}" cache="Slicer_Department" caption="Department" rowHeight="260350"/>
  <slicer name="Education Field 2" xr10:uid="{3E4E82D9-2518-458A-9371-41642C6813E0}" cache="Slicer_Education_Field2"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Z20"/>
  <sheetViews>
    <sheetView showGridLines="0" tabSelected="1" zoomScale="80" zoomScaleNormal="80" workbookViewId="0">
      <selection activeCell="AA17" sqref="AA17"/>
    </sheetView>
  </sheetViews>
  <sheetFormatPr defaultColWidth="11.19921875" defaultRowHeight="15" customHeight="1" x14ac:dyDescent="0.3"/>
  <cols>
    <col min="1" max="26" width="8.59765625" style="8" customWidth="1"/>
    <col min="27" max="16384" width="11.19921875" style="8"/>
  </cols>
  <sheetData>
    <row r="1" spans="2:26" ht="15.6" x14ac:dyDescent="0.3"/>
    <row r="2" spans="2:26" ht="15.6" x14ac:dyDescent="0.3"/>
    <row r="3" spans="2:26" ht="15.6" x14ac:dyDescent="0.3"/>
    <row r="4" spans="2:26" ht="15.6" x14ac:dyDescent="0.3"/>
    <row r="5" spans="2:26" ht="15.6" x14ac:dyDescent="0.3"/>
    <row r="6" spans="2:26" ht="31.2" x14ac:dyDescent="0.75">
      <c r="Z6" s="9"/>
    </row>
    <row r="7" spans="2:26" ht="15.6" x14ac:dyDescent="0.3"/>
    <row r="8" spans="2:26" ht="15.6" x14ac:dyDescent="0.3"/>
    <row r="9" spans="2:26" ht="15.6" x14ac:dyDescent="0.3"/>
    <row r="10" spans="2:26" ht="15" customHeight="1" x14ac:dyDescent="0.45">
      <c r="B10" s="10"/>
    </row>
    <row r="11" spans="2:26" ht="15.6" x14ac:dyDescent="0.3"/>
    <row r="12" spans="2:26" ht="15.6" x14ac:dyDescent="0.3"/>
    <row r="13" spans="2:26" ht="15.6" x14ac:dyDescent="0.3"/>
    <row r="14" spans="2:26" ht="15.6" x14ac:dyDescent="0.3"/>
    <row r="15" spans="2:26" ht="15.6" x14ac:dyDescent="0.3"/>
    <row r="16" spans="2:26" ht="15.6" x14ac:dyDescent="0.3"/>
    <row r="17" s="8" customFormat="1" ht="15.6" x14ac:dyDescent="0.3"/>
    <row r="18" s="8" customFormat="1" ht="15.6" x14ac:dyDescent="0.3"/>
    <row r="19" s="8" customFormat="1" ht="15.6" x14ac:dyDescent="0.3"/>
    <row r="20" s="8" customFormat="1" ht="15.6"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CA62-5EA3-4F65-A2C9-48BEBB69748F}">
  <dimension ref="A3:E9"/>
  <sheetViews>
    <sheetView workbookViewId="0">
      <selection activeCell="C9" sqref="C9"/>
    </sheetView>
  </sheetViews>
  <sheetFormatPr defaultRowHeight="15.6" x14ac:dyDescent="0.3"/>
  <cols>
    <col min="1" max="1" width="24.5" bestFit="1" customWidth="1"/>
    <col min="2" max="2" width="22.796875" bestFit="1" customWidth="1"/>
    <col min="3" max="3" width="13.5" bestFit="1" customWidth="1"/>
    <col min="4" max="4" width="15.5" bestFit="1" customWidth="1"/>
    <col min="5" max="5" width="12.3984375" bestFit="1" customWidth="1"/>
  </cols>
  <sheetData>
    <row r="3" spans="1:5" x14ac:dyDescent="0.3">
      <c r="A3" s="2" t="s">
        <v>1554</v>
      </c>
      <c r="B3" s="3" t="s">
        <v>1555</v>
      </c>
      <c r="C3" s="4" t="s">
        <v>1556</v>
      </c>
    </row>
    <row r="4" spans="1:5" x14ac:dyDescent="0.3">
      <c r="A4" s="17">
        <v>1470</v>
      </c>
      <c r="B4" s="18">
        <v>237</v>
      </c>
      <c r="C4" s="19">
        <v>36.923809523809524</v>
      </c>
    </row>
    <row r="8" spans="1:5" x14ac:dyDescent="0.3">
      <c r="A8" s="5" t="s">
        <v>1557</v>
      </c>
      <c r="B8" s="5" t="s">
        <v>1558</v>
      </c>
      <c r="C8" s="5" t="s">
        <v>1559</v>
      </c>
      <c r="D8" s="5" t="s">
        <v>1560</v>
      </c>
      <c r="E8" s="5" t="s">
        <v>1561</v>
      </c>
    </row>
    <row r="9" spans="1:5" x14ac:dyDescent="0.3">
      <c r="A9">
        <f>GETPIVOTDATA("Count of Employee Number",$A$3)</f>
        <v>1470</v>
      </c>
      <c r="B9">
        <f>GETPIVOTDATA("Sum of CF_attrition count",$A$3)</f>
        <v>237</v>
      </c>
      <c r="C9" s="7">
        <f>GETPIVOTDATA("Average of Age",$A$3)</f>
        <v>36.923809523809524</v>
      </c>
      <c r="D9">
        <f>A9-B9</f>
        <v>1233</v>
      </c>
      <c r="E9" s="6">
        <f>B9/A9</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316EA-F881-4E7E-A676-48AED0130C0E}">
  <dimension ref="A3:C7"/>
  <sheetViews>
    <sheetView workbookViewId="0">
      <selection activeCell="N25" sqref="N25"/>
    </sheetView>
  </sheetViews>
  <sheetFormatPr defaultRowHeight="15.6" x14ac:dyDescent="0.3"/>
  <cols>
    <col min="1" max="1" width="23.69921875" bestFit="1" customWidth="1"/>
  </cols>
  <sheetData>
    <row r="3" spans="1:3" x14ac:dyDescent="0.3">
      <c r="A3" t="s">
        <v>1562</v>
      </c>
    </row>
    <row r="4" spans="1:3" x14ac:dyDescent="0.3">
      <c r="A4" s="11">
        <v>2.6265306122448981</v>
      </c>
    </row>
    <row r="6" spans="1:3" x14ac:dyDescent="0.3">
      <c r="A6" t="s">
        <v>1563</v>
      </c>
      <c r="B6" s="11">
        <f>GETPIVOTDATA("Job Satisfaction",$A$3)</f>
        <v>2.6265306122448981</v>
      </c>
      <c r="C6">
        <f>B6/4</f>
        <v>0.65663265306122454</v>
      </c>
    </row>
    <row r="7" spans="1:3" x14ac:dyDescent="0.3">
      <c r="A7" t="s">
        <v>1564</v>
      </c>
      <c r="B7" s="11">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FE438-73B8-4978-B2C0-8F2463F3C3C4}">
  <dimension ref="A3:C10"/>
  <sheetViews>
    <sheetView workbookViewId="0">
      <selection activeCell="A9" sqref="A9"/>
    </sheetView>
  </sheetViews>
  <sheetFormatPr defaultRowHeight="15.6" x14ac:dyDescent="0.3"/>
  <cols>
    <col min="1" max="1" width="12.296875" bestFit="1" customWidth="1"/>
    <col min="2" max="2" width="22.796875" bestFit="1" customWidth="1"/>
  </cols>
  <sheetData>
    <row r="3" spans="1:3" x14ac:dyDescent="0.3">
      <c r="A3" s="12" t="s">
        <v>1565</v>
      </c>
      <c r="B3" t="s">
        <v>1567</v>
      </c>
    </row>
    <row r="4" spans="1:3" x14ac:dyDescent="0.3">
      <c r="A4" s="13" t="s">
        <v>51</v>
      </c>
      <c r="B4" s="16">
        <v>588</v>
      </c>
    </row>
    <row r="5" spans="1:3" x14ac:dyDescent="0.3">
      <c r="A5" s="13" t="s">
        <v>62</v>
      </c>
      <c r="B5" s="16">
        <v>882</v>
      </c>
    </row>
    <row r="6" spans="1:3" x14ac:dyDescent="0.3">
      <c r="A6" s="13" t="s">
        <v>1566</v>
      </c>
      <c r="B6" s="16">
        <v>1470</v>
      </c>
    </row>
    <row r="9" spans="1:3" x14ac:dyDescent="0.3">
      <c r="A9" s="13" t="s">
        <v>51</v>
      </c>
      <c r="B9">
        <f>IFERROR(GETPIVOTDATA("Employee Count",$A$3,"Gender","Female"),0)</f>
        <v>588</v>
      </c>
      <c r="C9" s="14">
        <f>B9/GETPIVOTDATA("Employee Count",$A$3)</f>
        <v>0.4</v>
      </c>
    </row>
    <row r="10" spans="1:3" x14ac:dyDescent="0.3">
      <c r="A10" s="13" t="s">
        <v>62</v>
      </c>
      <c r="B10">
        <f>IFERROR(GETPIVOTDATA("Employee Count",$A$3,"Gender","Male"),0)</f>
        <v>882</v>
      </c>
      <c r="C10" s="14">
        <f>B10/GETPIVOTDATA("Employee Count",$A$3)</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304EF-B2A5-4392-A750-7F81E2DB9790}">
  <dimension ref="A3:E9"/>
  <sheetViews>
    <sheetView workbookViewId="0">
      <selection activeCell="J1" sqref="J1"/>
    </sheetView>
  </sheetViews>
  <sheetFormatPr defaultRowHeight="15.6" x14ac:dyDescent="0.3"/>
  <cols>
    <col min="1" max="1" width="16" bestFit="1" customWidth="1"/>
    <col min="2" max="2" width="22.796875" bestFit="1" customWidth="1"/>
  </cols>
  <sheetData>
    <row r="3" spans="1:5" x14ac:dyDescent="0.3">
      <c r="A3" s="12" t="s">
        <v>1565</v>
      </c>
      <c r="B3" t="s">
        <v>1555</v>
      </c>
    </row>
    <row r="4" spans="1:5" x14ac:dyDescent="0.3">
      <c r="A4" s="13" t="s">
        <v>134</v>
      </c>
      <c r="B4" s="16">
        <v>5</v>
      </c>
      <c r="E4" t="s">
        <v>1568</v>
      </c>
    </row>
    <row r="5" spans="1:5" x14ac:dyDescent="0.3">
      <c r="A5" s="13" t="s">
        <v>65</v>
      </c>
      <c r="B5" s="16">
        <v>31</v>
      </c>
    </row>
    <row r="6" spans="1:5" x14ac:dyDescent="0.3">
      <c r="A6" s="13" t="s">
        <v>55</v>
      </c>
      <c r="B6" s="16">
        <v>44</v>
      </c>
    </row>
    <row r="7" spans="1:5" x14ac:dyDescent="0.3">
      <c r="A7" s="13" t="s">
        <v>71</v>
      </c>
      <c r="B7" s="16">
        <v>58</v>
      </c>
    </row>
    <row r="8" spans="1:5" x14ac:dyDescent="0.3">
      <c r="A8" s="13" t="s">
        <v>77</v>
      </c>
      <c r="B8" s="16">
        <v>99</v>
      </c>
    </row>
    <row r="9" spans="1:5" x14ac:dyDescent="0.3">
      <c r="A9" s="13" t="s">
        <v>1566</v>
      </c>
      <c r="B9" s="16">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3CC7F-CA16-43DB-9606-EA100201D43A}">
  <dimension ref="A3:E13"/>
  <sheetViews>
    <sheetView workbookViewId="0">
      <selection activeCell="G1" sqref="G1"/>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2" t="s">
        <v>1565</v>
      </c>
      <c r="B3" t="s">
        <v>1555</v>
      </c>
      <c r="D3" t="s">
        <v>9</v>
      </c>
      <c r="E3" t="s">
        <v>0</v>
      </c>
    </row>
    <row r="4" spans="1:5" x14ac:dyDescent="0.3">
      <c r="A4" s="13" t="s">
        <v>83</v>
      </c>
      <c r="B4" s="16">
        <v>9</v>
      </c>
      <c r="D4" t="str">
        <f>A4</f>
        <v>Healthcare Representative</v>
      </c>
      <c r="E4">
        <f>GETPIVOTDATA("CF_attrition count",$A$3,"Job Role",A4)</f>
        <v>9</v>
      </c>
    </row>
    <row r="5" spans="1:5" x14ac:dyDescent="0.3">
      <c r="A5" s="13" t="s">
        <v>163</v>
      </c>
      <c r="B5" s="16">
        <v>12</v>
      </c>
      <c r="D5" t="str">
        <f t="shared" ref="D5:D12" si="0">A5</f>
        <v>Human Resources</v>
      </c>
      <c r="E5">
        <f t="shared" ref="E5:E12" si="1">GETPIVOTDATA("CF_attrition count",$A$3,"Job Role",A5)</f>
        <v>12</v>
      </c>
    </row>
    <row r="6" spans="1:5" x14ac:dyDescent="0.3">
      <c r="A6" s="13" t="s">
        <v>68</v>
      </c>
      <c r="B6" s="16">
        <v>62</v>
      </c>
      <c r="D6" t="str">
        <f t="shared" si="0"/>
        <v>Laboratory Technician</v>
      </c>
      <c r="E6">
        <f t="shared" si="1"/>
        <v>62</v>
      </c>
    </row>
    <row r="7" spans="1:5" x14ac:dyDescent="0.3">
      <c r="A7" s="13" t="s">
        <v>95</v>
      </c>
      <c r="B7" s="16">
        <v>5</v>
      </c>
      <c r="D7" t="str">
        <f t="shared" si="0"/>
        <v>Manager</v>
      </c>
      <c r="E7">
        <f t="shared" si="1"/>
        <v>5</v>
      </c>
    </row>
    <row r="8" spans="1:5" x14ac:dyDescent="0.3">
      <c r="A8" s="13" t="s">
        <v>81</v>
      </c>
      <c r="B8" s="16">
        <v>10</v>
      </c>
      <c r="D8" t="str">
        <f t="shared" si="0"/>
        <v>Manufacturing Director</v>
      </c>
      <c r="E8">
        <f t="shared" si="1"/>
        <v>10</v>
      </c>
    </row>
    <row r="9" spans="1:5" x14ac:dyDescent="0.3">
      <c r="A9" s="13" t="s">
        <v>101</v>
      </c>
      <c r="B9" s="16">
        <v>2</v>
      </c>
      <c r="D9" t="str">
        <f t="shared" si="0"/>
        <v>Research Director</v>
      </c>
      <c r="E9">
        <f t="shared" si="1"/>
        <v>2</v>
      </c>
    </row>
    <row r="10" spans="1:5" x14ac:dyDescent="0.3">
      <c r="A10" s="13" t="s">
        <v>63</v>
      </c>
      <c r="B10" s="16">
        <v>47</v>
      </c>
      <c r="D10" t="str">
        <f t="shared" si="0"/>
        <v>Research Scientist</v>
      </c>
      <c r="E10">
        <f t="shared" si="1"/>
        <v>47</v>
      </c>
    </row>
    <row r="11" spans="1:5" x14ac:dyDescent="0.3">
      <c r="A11" s="13" t="s">
        <v>52</v>
      </c>
      <c r="B11" s="16">
        <v>57</v>
      </c>
      <c r="D11" t="str">
        <f t="shared" si="0"/>
        <v>Sales Executive</v>
      </c>
      <c r="E11">
        <f t="shared" si="1"/>
        <v>57</v>
      </c>
    </row>
    <row r="12" spans="1:5" x14ac:dyDescent="0.3">
      <c r="A12" s="13" t="s">
        <v>99</v>
      </c>
      <c r="B12" s="16">
        <v>33</v>
      </c>
      <c r="D12" t="str">
        <f t="shared" si="0"/>
        <v>Sales Representative</v>
      </c>
      <c r="E12">
        <f t="shared" si="1"/>
        <v>33</v>
      </c>
    </row>
    <row r="13" spans="1:5" x14ac:dyDescent="0.3">
      <c r="A13" s="13" t="s">
        <v>1566</v>
      </c>
      <c r="B13" s="16">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11211-FF5E-4B19-9507-CA80F57BACA0}">
  <dimension ref="A3:B7"/>
  <sheetViews>
    <sheetView workbookViewId="0">
      <selection activeCell="B5" sqref="B5"/>
    </sheetView>
  </sheetViews>
  <sheetFormatPr defaultRowHeight="15.6" x14ac:dyDescent="0.3"/>
  <cols>
    <col min="1" max="1" width="12.296875" bestFit="1" customWidth="1"/>
    <col min="2" max="2" width="22.796875" bestFit="1" customWidth="1"/>
  </cols>
  <sheetData>
    <row r="3" spans="1:2" x14ac:dyDescent="0.3">
      <c r="A3" s="12" t="s">
        <v>1565</v>
      </c>
      <c r="B3" t="s">
        <v>1555</v>
      </c>
    </row>
    <row r="4" spans="1:2" x14ac:dyDescent="0.3">
      <c r="A4" s="13" t="s">
        <v>161</v>
      </c>
      <c r="B4" s="15">
        <v>5.0632911392405063E-2</v>
      </c>
    </row>
    <row r="5" spans="1:2" x14ac:dyDescent="0.3">
      <c r="A5" s="13" t="s">
        <v>60</v>
      </c>
      <c r="B5" s="15">
        <v>0.56118143459915615</v>
      </c>
    </row>
    <row r="6" spans="1:2" x14ac:dyDescent="0.3">
      <c r="A6" s="13" t="s">
        <v>48</v>
      </c>
      <c r="B6" s="15">
        <v>0.3881856540084388</v>
      </c>
    </row>
    <row r="7" spans="1:2" x14ac:dyDescent="0.3">
      <c r="A7" s="13" t="s">
        <v>1566</v>
      </c>
      <c r="B7" s="15">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26AA0-0195-4D97-8A4F-E4EA6808AA54}">
  <dimension ref="A3:B9"/>
  <sheetViews>
    <sheetView workbookViewId="0">
      <selection activeCell="B6" sqref="B6"/>
    </sheetView>
  </sheetViews>
  <sheetFormatPr defaultRowHeight="15.6" x14ac:dyDescent="0.3"/>
  <cols>
    <col min="1" max="1" width="12.296875" bestFit="1" customWidth="1"/>
    <col min="2" max="2" width="22.796875" bestFit="1" customWidth="1"/>
  </cols>
  <sheetData>
    <row r="3" spans="1:2" x14ac:dyDescent="0.3">
      <c r="A3" s="12" t="s">
        <v>1565</v>
      </c>
      <c r="B3" t="s">
        <v>1555</v>
      </c>
    </row>
    <row r="4" spans="1:2" x14ac:dyDescent="0.3">
      <c r="A4" s="13" t="s">
        <v>69</v>
      </c>
      <c r="B4" s="16">
        <v>112</v>
      </c>
    </row>
    <row r="5" spans="1:2" x14ac:dyDescent="0.3">
      <c r="A5" s="13" t="s">
        <v>46</v>
      </c>
      <c r="B5" s="16">
        <v>51</v>
      </c>
    </row>
    <row r="6" spans="1:2" x14ac:dyDescent="0.3">
      <c r="A6" s="13" t="s">
        <v>92</v>
      </c>
      <c r="B6" s="16">
        <v>38</v>
      </c>
    </row>
    <row r="7" spans="1:2" x14ac:dyDescent="0.3">
      <c r="A7" s="13" t="s">
        <v>58</v>
      </c>
      <c r="B7" s="16">
        <v>25</v>
      </c>
    </row>
    <row r="8" spans="1:2" x14ac:dyDescent="0.3">
      <c r="A8" s="13" t="s">
        <v>75</v>
      </c>
      <c r="B8" s="16">
        <v>11</v>
      </c>
    </row>
    <row r="9" spans="1:2" x14ac:dyDescent="0.3">
      <c r="A9" s="13" t="s">
        <v>1566</v>
      </c>
      <c r="B9" s="16">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CE7F1-5612-4A21-833B-F3CC797FF346}">
  <dimension ref="A3:E7"/>
  <sheetViews>
    <sheetView workbookViewId="0">
      <selection activeCell="B5" sqref="B5"/>
    </sheetView>
  </sheetViews>
  <sheetFormatPr defaultRowHeight="15.6" x14ac:dyDescent="0.3"/>
  <cols>
    <col min="1" max="1" width="10.8984375" bestFit="1" customWidth="1"/>
    <col min="2" max="2" width="16" bestFit="1" customWidth="1"/>
    <col min="4" max="4" width="13.19921875" bestFit="1" customWidth="1"/>
  </cols>
  <sheetData>
    <row r="3" spans="1:5" x14ac:dyDescent="0.3">
      <c r="A3" s="12" t="s">
        <v>1568</v>
      </c>
      <c r="B3" t="s">
        <v>1569</v>
      </c>
      <c r="D3" t="s">
        <v>1570</v>
      </c>
      <c r="E3" t="s">
        <v>0</v>
      </c>
    </row>
    <row r="4" spans="1:5" x14ac:dyDescent="0.3">
      <c r="A4" s="13" t="s">
        <v>79</v>
      </c>
      <c r="B4" s="16">
        <v>327</v>
      </c>
      <c r="D4" t="str">
        <f>A4</f>
        <v>Divorced</v>
      </c>
      <c r="E4">
        <f>GETPIVOTDATA("Attrition",$A$3,"Marital Status",A4)</f>
        <v>327</v>
      </c>
    </row>
    <row r="5" spans="1:5" x14ac:dyDescent="0.3">
      <c r="A5" s="13" t="s">
        <v>53</v>
      </c>
      <c r="B5" s="16">
        <v>470</v>
      </c>
      <c r="D5" t="str">
        <f t="shared" ref="D5:D6" si="0">A5</f>
        <v>Single</v>
      </c>
      <c r="E5">
        <f t="shared" ref="E5:E6" si="1">GETPIVOTDATA("Attrition",$A$3,"Marital Status",A5)</f>
        <v>470</v>
      </c>
    </row>
    <row r="6" spans="1:5" x14ac:dyDescent="0.3">
      <c r="A6" s="13" t="s">
        <v>64</v>
      </c>
      <c r="B6" s="16">
        <v>673</v>
      </c>
      <c r="D6" t="str">
        <f t="shared" si="0"/>
        <v>Married</v>
      </c>
      <c r="E6">
        <f t="shared" si="1"/>
        <v>673</v>
      </c>
    </row>
    <row r="7" spans="1:5" x14ac:dyDescent="0.3">
      <c r="A7" s="13" t="s">
        <v>1566</v>
      </c>
      <c r="B7" s="16">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KPI</vt:lpstr>
      <vt:lpstr>Average of job satisfaction</vt:lpstr>
      <vt:lpstr>Gender</vt:lpstr>
      <vt:lpstr>Education by attrition</vt:lpstr>
      <vt:lpstr>Attrition by job</vt:lpstr>
      <vt:lpstr>Dept wise Attribution</vt:lpstr>
      <vt:lpstr>Attrition by Age Group</vt:lpstr>
      <vt:lpstr>Marital Status</vt:lpstr>
      <vt:lpstr>Data</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Ashutosh Singh</cp:lastModifiedBy>
  <dcterms:created xsi:type="dcterms:W3CDTF">2022-12-29T16:02:46Z</dcterms:created>
  <dcterms:modified xsi:type="dcterms:W3CDTF">2025-12-09T17:13:18Z</dcterms:modified>
</cp:coreProperties>
</file>